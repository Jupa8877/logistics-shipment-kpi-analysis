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D3AF39C7-914A-4A44-8340-B8885E0E81BB}" xr6:coauthVersionLast="47" xr6:coauthVersionMax="47" xr10:uidLastSave="{00000000-0000-0000-0000-000000000000}"/>
  <bookViews>
    <workbookView xWindow="1560" yWindow="1560" windowWidth="19260" windowHeight="14250" xr2:uid="{00000000-000D-0000-FFFF-FFFF00000000}"/>
  </bookViews>
  <sheets>
    <sheet name="Data" sheetId="1" r:id="rId1"/>
    <sheet name="Dashboard" sheetId="2" r:id="rId2"/>
  </sheets>
  <definedNames>
    <definedName name="_xlnm._FilterDatabase" localSheetId="0" hidden="1">Data!$A$1:$R$1201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C15" i="2"/>
  <c r="B16" i="2"/>
  <c r="C16" i="2"/>
  <c r="D16" i="2" s="1"/>
  <c r="B17" i="2"/>
  <c r="C17" i="2"/>
  <c r="D17" i="2" s="1"/>
  <c r="B18" i="2"/>
  <c r="C18" i="2"/>
  <c r="B19" i="2"/>
  <c r="D19" i="2" s="1"/>
  <c r="C19" i="2"/>
  <c r="B29" i="2"/>
  <c r="B30" i="2"/>
  <c r="B31" i="2"/>
  <c r="B32" i="2"/>
  <c r="B33" i="2"/>
  <c r="B34" i="2"/>
  <c r="B35" i="2"/>
  <c r="B36" i="2"/>
  <c r="B37" i="2"/>
  <c r="B38" i="2"/>
  <c r="B39" i="2"/>
  <c r="B40" i="2"/>
  <c r="B48" i="2"/>
  <c r="B49" i="2"/>
  <c r="B50" i="2"/>
  <c r="B51" i="2"/>
  <c r="B52" i="2"/>
  <c r="B60" i="2"/>
  <c r="B61" i="2"/>
  <c r="B62" i="2"/>
  <c r="B63" i="2"/>
  <c r="B64" i="2"/>
  <c r="B65" i="2"/>
  <c r="B66" i="2"/>
  <c r="B67" i="2"/>
  <c r="B68" i="2"/>
  <c r="B69" i="2"/>
  <c r="B70" i="2"/>
  <c r="B71" i="2"/>
  <c r="T3" i="1"/>
  <c r="T4" i="1"/>
  <c r="T5" i="1"/>
  <c r="T6" i="1"/>
  <c r="T7" i="1"/>
  <c r="T8" i="1"/>
  <c r="T9" i="1"/>
  <c r="B7" i="2" s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2" i="1"/>
  <c r="S3" i="1"/>
  <c r="S4" i="1"/>
  <c r="S5" i="1"/>
  <c r="S6" i="1"/>
  <c r="S7" i="1"/>
  <c r="S8" i="1"/>
  <c r="S9" i="1"/>
  <c r="B6" i="2" s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  <c r="Q3" i="1"/>
  <c r="Q4" i="1"/>
  <c r="Q5" i="1"/>
  <c r="Q6" i="1"/>
  <c r="Q7" i="1"/>
  <c r="Q8" i="1"/>
  <c r="B4" i="2" s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R3" i="1"/>
  <c r="R4" i="1"/>
  <c r="R5" i="1"/>
  <c r="R6" i="1"/>
  <c r="R7" i="1"/>
  <c r="R8" i="1"/>
  <c r="R9" i="1"/>
  <c r="B5" i="2" s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2" i="1"/>
  <c r="B8" i="2"/>
  <c r="D18" i="2" l="1"/>
  <c r="D15" i="2"/>
</calcChain>
</file>

<file path=xl/sharedStrings.xml><?xml version="1.0" encoding="utf-8"?>
<sst xmlns="http://schemas.openxmlformats.org/spreadsheetml/2006/main" count="11348" uniqueCount="1310">
  <si>
    <t>B/L#</t>
  </si>
  <si>
    <t>Shipment_ID</t>
  </si>
  <si>
    <t>Shipper</t>
  </si>
  <si>
    <t>Recipient</t>
  </si>
  <si>
    <t>Carrier</t>
  </si>
  <si>
    <t>Shipment_ready_date</t>
  </si>
  <si>
    <t>Pickup_date</t>
  </si>
  <si>
    <t>Wharehouse</t>
  </si>
  <si>
    <t>Destination</t>
  </si>
  <si>
    <t>ETA</t>
  </si>
  <si>
    <t>ATA</t>
  </si>
  <si>
    <t>Docs_Received</t>
  </si>
  <si>
    <t>Status</t>
  </si>
  <si>
    <t>Issue/Exception</t>
  </si>
  <si>
    <t>Commodity</t>
  </si>
  <si>
    <t>Notes</t>
  </si>
  <si>
    <t>On_Time</t>
  </si>
  <si>
    <t>Processing_Days</t>
  </si>
  <si>
    <t>Delay_Flag</t>
  </si>
  <si>
    <t>Docs_Error</t>
  </si>
  <si>
    <t>BL-100001</t>
  </si>
  <si>
    <t>Target</t>
  </si>
  <si>
    <t>DC West</t>
  </si>
  <si>
    <t>UPS</t>
  </si>
  <si>
    <t>Chicago, IL</t>
  </si>
  <si>
    <t>Boston, MA</t>
  </si>
  <si>
    <t>y</t>
  </si>
  <si>
    <t>Picked_up</t>
  </si>
  <si>
    <t>Electronics</t>
  </si>
  <si>
    <t>BL-100002</t>
  </si>
  <si>
    <t>Hospital A</t>
  </si>
  <si>
    <t>Los Angeles, CA</t>
  </si>
  <si>
    <t>Delayed</t>
  </si>
  <si>
    <t>Mechanical issue</t>
  </si>
  <si>
    <t>Food Products</t>
  </si>
  <si>
    <t>BL-100003</t>
  </si>
  <si>
    <t>CVS</t>
  </si>
  <si>
    <t>Industrial Parts</t>
  </si>
  <si>
    <t>BL-100004</t>
  </si>
  <si>
    <t>Customer Direct</t>
  </si>
  <si>
    <t>USPS</t>
  </si>
  <si>
    <t>Dallas, TX</t>
  </si>
  <si>
    <t>Seattle, WA</t>
  </si>
  <si>
    <t>Auto Parts</t>
  </si>
  <si>
    <t>BL-100005</t>
  </si>
  <si>
    <t>Denver, CO</t>
  </si>
  <si>
    <t>n</t>
  </si>
  <si>
    <t>Carrier capacity</t>
  </si>
  <si>
    <t>BL-100006</t>
  </si>
  <si>
    <t>Routing error</t>
  </si>
  <si>
    <t>BL-100007</t>
  </si>
  <si>
    <t>Costco</t>
  </si>
  <si>
    <t>Pharmacy Hub</t>
  </si>
  <si>
    <t>XPO</t>
  </si>
  <si>
    <t>Atlanta, GA</t>
  </si>
  <si>
    <t>BL-100008</t>
  </si>
  <si>
    <t>DHL</t>
  </si>
  <si>
    <t>In_Transit</t>
  </si>
  <si>
    <t>BL-100009</t>
  </si>
  <si>
    <t>Walmart</t>
  </si>
  <si>
    <t>FedEx</t>
  </si>
  <si>
    <t>Aurora, CO</t>
  </si>
  <si>
    <t>San Francisco, CA</t>
  </si>
  <si>
    <t>BL-100010</t>
  </si>
  <si>
    <t>Retail Store 12</t>
  </si>
  <si>
    <t>BL-100011</t>
  </si>
  <si>
    <t>BL-100012</t>
  </si>
  <si>
    <t>Address exception</t>
  </si>
  <si>
    <t>BL-100013</t>
  </si>
  <si>
    <t>Retail Goods</t>
  </si>
  <si>
    <t>BL-100014</t>
  </si>
  <si>
    <t>Fragile - handle with care</t>
  </si>
  <si>
    <t>BL-100015</t>
  </si>
  <si>
    <t>Miami, FL</t>
  </si>
  <si>
    <t>BL-100016</t>
  </si>
  <si>
    <t>Hub congestion</t>
  </si>
  <si>
    <t>Call customer before delivery</t>
  </si>
  <si>
    <t>BL-100017</t>
  </si>
  <si>
    <t>Amazon</t>
  </si>
  <si>
    <t>BL-100018</t>
  </si>
  <si>
    <t>BL-100019</t>
  </si>
  <si>
    <t>Medical Supplies</t>
  </si>
  <si>
    <t>BL-100020</t>
  </si>
  <si>
    <t>New York, NY</t>
  </si>
  <si>
    <t>BL-100021</t>
  </si>
  <si>
    <t>Phoenix, AZ</t>
  </si>
  <si>
    <t>BL-100022</t>
  </si>
  <si>
    <t>BL-100023</t>
  </si>
  <si>
    <t>Requires liftgate</t>
  </si>
  <si>
    <t>BL-100024</t>
  </si>
  <si>
    <t>BL-100025</t>
  </si>
  <si>
    <t>BL-100026</t>
  </si>
  <si>
    <t>BL-100027</t>
  </si>
  <si>
    <t>Temperature controlled</t>
  </si>
  <si>
    <t>BL-100028</t>
  </si>
  <si>
    <t>BL-100029</t>
  </si>
  <si>
    <t>BL-100030</t>
  </si>
  <si>
    <t>BL-100031</t>
  </si>
  <si>
    <t>BL-100032</t>
  </si>
  <si>
    <t>BL-100033</t>
  </si>
  <si>
    <t>BL-100034</t>
  </si>
  <si>
    <t>BL-100035</t>
  </si>
  <si>
    <t>BL-100036</t>
  </si>
  <si>
    <t>BL-100037</t>
  </si>
  <si>
    <t>BL-100038</t>
  </si>
  <si>
    <t>BL-100039</t>
  </si>
  <si>
    <t>BL-100040</t>
  </si>
  <si>
    <t>BL-100041</t>
  </si>
  <si>
    <t>BL-100042</t>
  </si>
  <si>
    <t>BL-100043</t>
  </si>
  <si>
    <t>BL-100044</t>
  </si>
  <si>
    <t>BL-100045</t>
  </si>
  <si>
    <t>BL-100046</t>
  </si>
  <si>
    <t>BL-100047</t>
  </si>
  <si>
    <t>BL-100048</t>
  </si>
  <si>
    <t>BL-100049</t>
  </si>
  <si>
    <t>BL-100050</t>
  </si>
  <si>
    <t>BL-100051</t>
  </si>
  <si>
    <t>BL-100052</t>
  </si>
  <si>
    <t>BL-100053</t>
  </si>
  <si>
    <t>BL-100054</t>
  </si>
  <si>
    <t>BL-100055</t>
  </si>
  <si>
    <t>BL-100056</t>
  </si>
  <si>
    <t>BL-100057</t>
  </si>
  <si>
    <t>BL-100058</t>
  </si>
  <si>
    <t>BL-100059</t>
  </si>
  <si>
    <t>BL-100060</t>
  </si>
  <si>
    <t>BL-100061</t>
  </si>
  <si>
    <t>BL-100062</t>
  </si>
  <si>
    <t>BL-100063</t>
  </si>
  <si>
    <t>BL-100064</t>
  </si>
  <si>
    <t>BL-100065</t>
  </si>
  <si>
    <t>BL-100066</t>
  </si>
  <si>
    <t>BL-100067</t>
  </si>
  <si>
    <t>BL-100068</t>
  </si>
  <si>
    <t>BL-100069</t>
  </si>
  <si>
    <t>BL-100070</t>
  </si>
  <si>
    <t>BL-100071</t>
  </si>
  <si>
    <t>BL-100072</t>
  </si>
  <si>
    <t>BL-100073</t>
  </si>
  <si>
    <t>BL-100074</t>
  </si>
  <si>
    <t>BL-100075</t>
  </si>
  <si>
    <t>BL-100076</t>
  </si>
  <si>
    <t>BL-100077</t>
  </si>
  <si>
    <t>BL-100078</t>
  </si>
  <si>
    <t>BL-100079</t>
  </si>
  <si>
    <t>BL-100080</t>
  </si>
  <si>
    <t>BL-100081</t>
  </si>
  <si>
    <t>BL-100082</t>
  </si>
  <si>
    <t>BL-100083</t>
  </si>
  <si>
    <t>BL-100084</t>
  </si>
  <si>
    <t>BL-100085</t>
  </si>
  <si>
    <t>BL-100086</t>
  </si>
  <si>
    <t>BL-100087</t>
  </si>
  <si>
    <t>BL-100088</t>
  </si>
  <si>
    <t>BL-100089</t>
  </si>
  <si>
    <t>BL-100090</t>
  </si>
  <si>
    <t>BL-100091</t>
  </si>
  <si>
    <t>BL-100092</t>
  </si>
  <si>
    <t>BL-100093</t>
  </si>
  <si>
    <t>BL-100094</t>
  </si>
  <si>
    <t>BL-100095</t>
  </si>
  <si>
    <t>BL-100096</t>
  </si>
  <si>
    <t>BL-100097</t>
  </si>
  <si>
    <t>BL-100098</t>
  </si>
  <si>
    <t>BL-100099</t>
  </si>
  <si>
    <t>BL-100100</t>
  </si>
  <si>
    <t>BL-100101</t>
  </si>
  <si>
    <t>BL-100102</t>
  </si>
  <si>
    <t>BL-100103</t>
  </si>
  <si>
    <t>BL-100104</t>
  </si>
  <si>
    <t>BL-100105</t>
  </si>
  <si>
    <t>BL-100106</t>
  </si>
  <si>
    <t>BL-100107</t>
  </si>
  <si>
    <t>BL-100108</t>
  </si>
  <si>
    <t>BL-100109</t>
  </si>
  <si>
    <t>BL-100110</t>
  </si>
  <si>
    <t>BL-100111</t>
  </si>
  <si>
    <t>BL-100112</t>
  </si>
  <si>
    <t>BL-100113</t>
  </si>
  <si>
    <t>BL-100114</t>
  </si>
  <si>
    <t>BL-100115</t>
  </si>
  <si>
    <t>BL-100116</t>
  </si>
  <si>
    <t>BL-100117</t>
  </si>
  <si>
    <t>BL-100118</t>
  </si>
  <si>
    <t>BL-100119</t>
  </si>
  <si>
    <t>BL-100120</t>
  </si>
  <si>
    <t>BL-100121</t>
  </si>
  <si>
    <t>BL-100122</t>
  </si>
  <si>
    <t>BL-100123</t>
  </si>
  <si>
    <t>BL-100124</t>
  </si>
  <si>
    <t>BL-100125</t>
  </si>
  <si>
    <t>BL-100126</t>
  </si>
  <si>
    <t>BL-100127</t>
  </si>
  <si>
    <t>BL-100128</t>
  </si>
  <si>
    <t>BL-100129</t>
  </si>
  <si>
    <t>BL-100130</t>
  </si>
  <si>
    <t>BL-100131</t>
  </si>
  <si>
    <t>BL-100132</t>
  </si>
  <si>
    <t>BL-100133</t>
  </si>
  <si>
    <t>BL-100134</t>
  </si>
  <si>
    <t>BL-100135</t>
  </si>
  <si>
    <t>BL-100136</t>
  </si>
  <si>
    <t>BL-100137</t>
  </si>
  <si>
    <t>BL-100138</t>
  </si>
  <si>
    <t>BL-100139</t>
  </si>
  <si>
    <t>BL-100140</t>
  </si>
  <si>
    <t>BL-100141</t>
  </si>
  <si>
    <t>BL-100142</t>
  </si>
  <si>
    <t>BL-100143</t>
  </si>
  <si>
    <t>BL-100144</t>
  </si>
  <si>
    <t>BL-100145</t>
  </si>
  <si>
    <t>BL-100146</t>
  </si>
  <si>
    <t>BL-100147</t>
  </si>
  <si>
    <t>BL-100148</t>
  </si>
  <si>
    <t>BL-100149</t>
  </si>
  <si>
    <t>BL-100150</t>
  </si>
  <si>
    <t>BL-100151</t>
  </si>
  <si>
    <t>BL-100152</t>
  </si>
  <si>
    <t>BL-100153</t>
  </si>
  <si>
    <t>BL-100154</t>
  </si>
  <si>
    <t>BL-100155</t>
  </si>
  <si>
    <t>BL-100156</t>
  </si>
  <si>
    <t>BL-100157</t>
  </si>
  <si>
    <t>BL-100158</t>
  </si>
  <si>
    <t>BL-100159</t>
  </si>
  <si>
    <t>BL-100160</t>
  </si>
  <si>
    <t>BL-100161</t>
  </si>
  <si>
    <t>BL-100162</t>
  </si>
  <si>
    <t>BL-100163</t>
  </si>
  <si>
    <t>BL-100164</t>
  </si>
  <si>
    <t>BL-100165</t>
  </si>
  <si>
    <t>BL-100166</t>
  </si>
  <si>
    <t>BL-100167</t>
  </si>
  <si>
    <t>BL-100168</t>
  </si>
  <si>
    <t>BL-100169</t>
  </si>
  <si>
    <t>BL-100170</t>
  </si>
  <si>
    <t>BL-100171</t>
  </si>
  <si>
    <t>BL-100172</t>
  </si>
  <si>
    <t>BL-100173</t>
  </si>
  <si>
    <t>BL-100174</t>
  </si>
  <si>
    <t>BL-100175</t>
  </si>
  <si>
    <t>BL-100176</t>
  </si>
  <si>
    <t>BL-100177</t>
  </si>
  <si>
    <t>BL-100178</t>
  </si>
  <si>
    <t>BL-100179</t>
  </si>
  <si>
    <t>BL-100180</t>
  </si>
  <si>
    <t>BL-100181</t>
  </si>
  <si>
    <t>BL-100182</t>
  </si>
  <si>
    <t>BL-100183</t>
  </si>
  <si>
    <t>BL-100184</t>
  </si>
  <si>
    <t>BL-100185</t>
  </si>
  <si>
    <t>BL-100186</t>
  </si>
  <si>
    <t>BL-100187</t>
  </si>
  <si>
    <t>BL-100188</t>
  </si>
  <si>
    <t>BL-100189</t>
  </si>
  <si>
    <t>BL-100190</t>
  </si>
  <si>
    <t>BL-100191</t>
  </si>
  <si>
    <t>BL-100192</t>
  </si>
  <si>
    <t>BL-100193</t>
  </si>
  <si>
    <t>BL-100194</t>
  </si>
  <si>
    <t>BL-100195</t>
  </si>
  <si>
    <t>BL-100196</t>
  </si>
  <si>
    <t>BL-100197</t>
  </si>
  <si>
    <t>Weather delay</t>
  </si>
  <si>
    <t>BL-100198</t>
  </si>
  <si>
    <t>BL-100199</t>
  </si>
  <si>
    <t>BL-100200</t>
  </si>
  <si>
    <t>BL-100201</t>
  </si>
  <si>
    <t>BL-100202</t>
  </si>
  <si>
    <t>BL-100203</t>
  </si>
  <si>
    <t>BL-100204</t>
  </si>
  <si>
    <t>BL-100205</t>
  </si>
  <si>
    <t>BL-100206</t>
  </si>
  <si>
    <t>BL-100207</t>
  </si>
  <si>
    <t>BL-100208</t>
  </si>
  <si>
    <t>BL-100209</t>
  </si>
  <si>
    <t>BL-100210</t>
  </si>
  <si>
    <t>BL-100211</t>
  </si>
  <si>
    <t>BL-100212</t>
  </si>
  <si>
    <t>BL-100213</t>
  </si>
  <si>
    <t>BL-100214</t>
  </si>
  <si>
    <t>BL-100215</t>
  </si>
  <si>
    <t>BL-100216</t>
  </si>
  <si>
    <t>BL-100217</t>
  </si>
  <si>
    <t>BL-100218</t>
  </si>
  <si>
    <t>BL-100219</t>
  </si>
  <si>
    <t>BL-100220</t>
  </si>
  <si>
    <t>BL-100221</t>
  </si>
  <si>
    <t>BL-100222</t>
  </si>
  <si>
    <t>BL-100223</t>
  </si>
  <si>
    <t>BL-100224</t>
  </si>
  <si>
    <t>BL-100225</t>
  </si>
  <si>
    <t>BL-100226</t>
  </si>
  <si>
    <t>BL-100227</t>
  </si>
  <si>
    <t>BL-100228</t>
  </si>
  <si>
    <t>BL-100229</t>
  </si>
  <si>
    <t>BL-100230</t>
  </si>
  <si>
    <t>BL-100231</t>
  </si>
  <si>
    <t>BL-100232</t>
  </si>
  <si>
    <t>BL-100233</t>
  </si>
  <si>
    <t>BL-100234</t>
  </si>
  <si>
    <t>BL-100235</t>
  </si>
  <si>
    <t>BL-100236</t>
  </si>
  <si>
    <t>BL-100237</t>
  </si>
  <si>
    <t>BL-100238</t>
  </si>
  <si>
    <t>BL-100239</t>
  </si>
  <si>
    <t>BL-100240</t>
  </si>
  <si>
    <t>BL-100241</t>
  </si>
  <si>
    <t>BL-100242</t>
  </si>
  <si>
    <t>BL-100243</t>
  </si>
  <si>
    <t>BL-100244</t>
  </si>
  <si>
    <t>BL-100245</t>
  </si>
  <si>
    <t>BL-100246</t>
  </si>
  <si>
    <t>BL-100247</t>
  </si>
  <si>
    <t>BL-100248</t>
  </si>
  <si>
    <t>BL-100249</t>
  </si>
  <si>
    <t>BL-100250</t>
  </si>
  <si>
    <t>BL-100251</t>
  </si>
  <si>
    <t>BL-100252</t>
  </si>
  <si>
    <t>BL-100253</t>
  </si>
  <si>
    <t>BL-100254</t>
  </si>
  <si>
    <t>BL-100255</t>
  </si>
  <si>
    <t>BL-100256</t>
  </si>
  <si>
    <t>BL-100257</t>
  </si>
  <si>
    <t>BL-100258</t>
  </si>
  <si>
    <t>BL-100259</t>
  </si>
  <si>
    <t>BL-100260</t>
  </si>
  <si>
    <t>BL-100261</t>
  </si>
  <si>
    <t>BL-100262</t>
  </si>
  <si>
    <t>BL-100263</t>
  </si>
  <si>
    <t>BL-100264</t>
  </si>
  <si>
    <t>BL-100265</t>
  </si>
  <si>
    <t>BL-100266</t>
  </si>
  <si>
    <t>BL-100267</t>
  </si>
  <si>
    <t>BL-100268</t>
  </si>
  <si>
    <t>BL-100269</t>
  </si>
  <si>
    <t>BL-100270</t>
  </si>
  <si>
    <t>BL-100271</t>
  </si>
  <si>
    <t>BL-100272</t>
  </si>
  <si>
    <t>BL-100273</t>
  </si>
  <si>
    <t>BL-100274</t>
  </si>
  <si>
    <t>BL-100275</t>
  </si>
  <si>
    <t>BL-100276</t>
  </si>
  <si>
    <t>BL-100277</t>
  </si>
  <si>
    <t>BL-100278</t>
  </si>
  <si>
    <t>BL-100279</t>
  </si>
  <si>
    <t>BL-100280</t>
  </si>
  <si>
    <t>BL-100281</t>
  </si>
  <si>
    <t>BL-100282</t>
  </si>
  <si>
    <t>BL-100283</t>
  </si>
  <si>
    <t>BL-100284</t>
  </si>
  <si>
    <t>BL-100285</t>
  </si>
  <si>
    <t>BL-100286</t>
  </si>
  <si>
    <t>BL-100287</t>
  </si>
  <si>
    <t>BL-100288</t>
  </si>
  <si>
    <t>BL-100289</t>
  </si>
  <si>
    <t>BL-100290</t>
  </si>
  <si>
    <t>BL-100291</t>
  </si>
  <si>
    <t>BL-100292</t>
  </si>
  <si>
    <t>BL-100293</t>
  </si>
  <si>
    <t>BL-100294</t>
  </si>
  <si>
    <t>BL-100295</t>
  </si>
  <si>
    <t>BL-100296</t>
  </si>
  <si>
    <t>BL-100297</t>
  </si>
  <si>
    <t>BL-100298</t>
  </si>
  <si>
    <t>BL-100299</t>
  </si>
  <si>
    <t>BL-100300</t>
  </si>
  <si>
    <t>BL-100301</t>
  </si>
  <si>
    <t>BL-100302</t>
  </si>
  <si>
    <t>BL-100303</t>
  </si>
  <si>
    <t>BL-100304</t>
  </si>
  <si>
    <t>BL-100305</t>
  </si>
  <si>
    <t>BL-100306</t>
  </si>
  <si>
    <t>BL-100307</t>
  </si>
  <si>
    <t>BL-100308</t>
  </si>
  <si>
    <t>BL-100309</t>
  </si>
  <si>
    <t>BL-100310</t>
  </si>
  <si>
    <t>BL-100311</t>
  </si>
  <si>
    <t>BL-100312</t>
  </si>
  <si>
    <t>BL-100313</t>
  </si>
  <si>
    <t>BL-100314</t>
  </si>
  <si>
    <t>BL-100315</t>
  </si>
  <si>
    <t>BL-100316</t>
  </si>
  <si>
    <t>BL-100317</t>
  </si>
  <si>
    <t>BL-100318</t>
  </si>
  <si>
    <t>BL-100319</t>
  </si>
  <si>
    <t>BL-100320</t>
  </si>
  <si>
    <t>BL-100321</t>
  </si>
  <si>
    <t>BL-100322</t>
  </si>
  <si>
    <t>BL-100323</t>
  </si>
  <si>
    <t>BL-100324</t>
  </si>
  <si>
    <t>BL-100325</t>
  </si>
  <si>
    <t>BL-100326</t>
  </si>
  <si>
    <t>BL-100327</t>
  </si>
  <si>
    <t>BL-100328</t>
  </si>
  <si>
    <t>BL-100329</t>
  </si>
  <si>
    <t>BL-100330</t>
  </si>
  <si>
    <t>BL-100331</t>
  </si>
  <si>
    <t>BL-100332</t>
  </si>
  <si>
    <t>BL-100333</t>
  </si>
  <si>
    <t>BL-100334</t>
  </si>
  <si>
    <t>BL-100335</t>
  </si>
  <si>
    <t>BL-100336</t>
  </si>
  <si>
    <t>BL-100337</t>
  </si>
  <si>
    <t>BL-100338</t>
  </si>
  <si>
    <t>BL-100339</t>
  </si>
  <si>
    <t>BL-100340</t>
  </si>
  <si>
    <t>BL-100341</t>
  </si>
  <si>
    <t>BL-100342</t>
  </si>
  <si>
    <t>BL-100343</t>
  </si>
  <si>
    <t>BL-100344</t>
  </si>
  <si>
    <t>BL-100345</t>
  </si>
  <si>
    <t>BL-100346</t>
  </si>
  <si>
    <t>BL-100347</t>
  </si>
  <si>
    <t>BL-100348</t>
  </si>
  <si>
    <t>BL-100349</t>
  </si>
  <si>
    <t>BL-100350</t>
  </si>
  <si>
    <t>BL-100351</t>
  </si>
  <si>
    <t>BL-100352</t>
  </si>
  <si>
    <t>BL-100353</t>
  </si>
  <si>
    <t>BL-100354</t>
  </si>
  <si>
    <t>BL-100355</t>
  </si>
  <si>
    <t>BL-100356</t>
  </si>
  <si>
    <t>BL-100357</t>
  </si>
  <si>
    <t>BL-100358</t>
  </si>
  <si>
    <t>BL-100359</t>
  </si>
  <si>
    <t>BL-100360</t>
  </si>
  <si>
    <t>BL-100361</t>
  </si>
  <si>
    <t>BL-100362</t>
  </si>
  <si>
    <t>BL-100363</t>
  </si>
  <si>
    <t>BL-100364</t>
  </si>
  <si>
    <t>BL-100365</t>
  </si>
  <si>
    <t>BL-100366</t>
  </si>
  <si>
    <t>BL-100367</t>
  </si>
  <si>
    <t>BL-100368</t>
  </si>
  <si>
    <t>BL-100369</t>
  </si>
  <si>
    <t>BL-100370</t>
  </si>
  <si>
    <t>BL-100371</t>
  </si>
  <si>
    <t>BL-100372</t>
  </si>
  <si>
    <t>BL-100373</t>
  </si>
  <si>
    <t>BL-100374</t>
  </si>
  <si>
    <t>BL-100375</t>
  </si>
  <si>
    <t>BL-100376</t>
  </si>
  <si>
    <t>BL-100377</t>
  </si>
  <si>
    <t>BL-100378</t>
  </si>
  <si>
    <t>BL-100379</t>
  </si>
  <si>
    <t>BL-100380</t>
  </si>
  <si>
    <t>BL-100381</t>
  </si>
  <si>
    <t>BL-100382</t>
  </si>
  <si>
    <t>BL-100383</t>
  </si>
  <si>
    <t>BL-100384</t>
  </si>
  <si>
    <t>BL-100385</t>
  </si>
  <si>
    <t>BL-100386</t>
  </si>
  <si>
    <t>BL-100387</t>
  </si>
  <si>
    <t>BL-100388</t>
  </si>
  <si>
    <t>BL-100389</t>
  </si>
  <si>
    <t>BL-100390</t>
  </si>
  <si>
    <t>BL-100391</t>
  </si>
  <si>
    <t>BL-100392</t>
  </si>
  <si>
    <t>BL-100393</t>
  </si>
  <si>
    <t>BL-100394</t>
  </si>
  <si>
    <t>BL-100395</t>
  </si>
  <si>
    <t>BL-100396</t>
  </si>
  <si>
    <t>BL-100397</t>
  </si>
  <si>
    <t>BL-100398</t>
  </si>
  <si>
    <t>BL-100399</t>
  </si>
  <si>
    <t>BL-100400</t>
  </si>
  <si>
    <t>BL-100401</t>
  </si>
  <si>
    <t>BL-100402</t>
  </si>
  <si>
    <t>BL-100403</t>
  </si>
  <si>
    <t>BL-100404</t>
  </si>
  <si>
    <t>BL-100405</t>
  </si>
  <si>
    <t>BL-100406</t>
  </si>
  <si>
    <t>BL-100407</t>
  </si>
  <si>
    <t>BL-100408</t>
  </si>
  <si>
    <t>BL-100409</t>
  </si>
  <si>
    <t>BL-100410</t>
  </si>
  <si>
    <t>BL-100411</t>
  </si>
  <si>
    <t>BL-100412</t>
  </si>
  <si>
    <t>BL-100413</t>
  </si>
  <si>
    <t>BL-100414</t>
  </si>
  <si>
    <t>BL-100415</t>
  </si>
  <si>
    <t>BL-100416</t>
  </si>
  <si>
    <t>BL-100417</t>
  </si>
  <si>
    <t>BL-100418</t>
  </si>
  <si>
    <t>BL-100419</t>
  </si>
  <si>
    <t>BL-100420</t>
  </si>
  <si>
    <t>BL-100421</t>
  </si>
  <si>
    <t>BL-100422</t>
  </si>
  <si>
    <t>BL-100423</t>
  </si>
  <si>
    <t>BL-100424</t>
  </si>
  <si>
    <t>BL-100425</t>
  </si>
  <si>
    <t>BL-100426</t>
  </si>
  <si>
    <t>BL-100427</t>
  </si>
  <si>
    <t>BL-100428</t>
  </si>
  <si>
    <t>BL-100429</t>
  </si>
  <si>
    <t>BL-100430</t>
  </si>
  <si>
    <t>BL-100431</t>
  </si>
  <si>
    <t>BL-100432</t>
  </si>
  <si>
    <t>BL-100433</t>
  </si>
  <si>
    <t>BL-100434</t>
  </si>
  <si>
    <t>BL-100435</t>
  </si>
  <si>
    <t>BL-100436</t>
  </si>
  <si>
    <t>BL-100437</t>
  </si>
  <si>
    <t>BL-100438</t>
  </si>
  <si>
    <t>BL-100439</t>
  </si>
  <si>
    <t>BL-100440</t>
  </si>
  <si>
    <t>BL-100441</t>
  </si>
  <si>
    <t>BL-100442</t>
  </si>
  <si>
    <t>BL-100443</t>
  </si>
  <si>
    <t>BL-100444</t>
  </si>
  <si>
    <t>BL-100445</t>
  </si>
  <si>
    <t>BL-100446</t>
  </si>
  <si>
    <t>BL-100447</t>
  </si>
  <si>
    <t>BL-100448</t>
  </si>
  <si>
    <t>BL-100449</t>
  </si>
  <si>
    <t>BL-100450</t>
  </si>
  <si>
    <t>BL-100451</t>
  </si>
  <si>
    <t>BL-100452</t>
  </si>
  <si>
    <t>BL-100453</t>
  </si>
  <si>
    <t>BL-100454</t>
  </si>
  <si>
    <t>BL-100455</t>
  </si>
  <si>
    <t>BL-100456</t>
  </si>
  <si>
    <t>BL-100457</t>
  </si>
  <si>
    <t>BL-100458</t>
  </si>
  <si>
    <t>BL-100459</t>
  </si>
  <si>
    <t>BL-100460</t>
  </si>
  <si>
    <t>BL-100461</t>
  </si>
  <si>
    <t>BL-100462</t>
  </si>
  <si>
    <t>BL-100463</t>
  </si>
  <si>
    <t>BL-100464</t>
  </si>
  <si>
    <t>BL-100465</t>
  </si>
  <si>
    <t>BL-100466</t>
  </si>
  <si>
    <t>BL-100467</t>
  </si>
  <si>
    <t>BL-100468</t>
  </si>
  <si>
    <t>BL-100469</t>
  </si>
  <si>
    <t>BL-100470</t>
  </si>
  <si>
    <t>BL-100471</t>
  </si>
  <si>
    <t>BL-100472</t>
  </si>
  <si>
    <t>BL-100473</t>
  </si>
  <si>
    <t>BL-100474</t>
  </si>
  <si>
    <t>BL-100475</t>
  </si>
  <si>
    <t>BL-100476</t>
  </si>
  <si>
    <t>BL-100477</t>
  </si>
  <si>
    <t>BL-100478</t>
  </si>
  <si>
    <t>BL-100479</t>
  </si>
  <si>
    <t>BL-100480</t>
  </si>
  <si>
    <t>BL-100481</t>
  </si>
  <si>
    <t>BL-100482</t>
  </si>
  <si>
    <t>BL-100483</t>
  </si>
  <si>
    <t>BL-100484</t>
  </si>
  <si>
    <t>BL-100485</t>
  </si>
  <si>
    <t>BL-100486</t>
  </si>
  <si>
    <t>BL-100487</t>
  </si>
  <si>
    <t>BL-100488</t>
  </si>
  <si>
    <t>BL-100489</t>
  </si>
  <si>
    <t>BL-100490</t>
  </si>
  <si>
    <t>BL-100491</t>
  </si>
  <si>
    <t>BL-100492</t>
  </si>
  <si>
    <t>BL-100493</t>
  </si>
  <si>
    <t>BL-100494</t>
  </si>
  <si>
    <t>BL-100495</t>
  </si>
  <si>
    <t>BL-100496</t>
  </si>
  <si>
    <t>BL-100497</t>
  </si>
  <si>
    <t>BL-100498</t>
  </si>
  <si>
    <t>BL-100499</t>
  </si>
  <si>
    <t>BL-100500</t>
  </si>
  <si>
    <t>BL-100501</t>
  </si>
  <si>
    <t>BL-100502</t>
  </si>
  <si>
    <t>BL-100503</t>
  </si>
  <si>
    <t>BL-100504</t>
  </si>
  <si>
    <t>BL-100505</t>
  </si>
  <si>
    <t>BL-100506</t>
  </si>
  <si>
    <t>BL-100507</t>
  </si>
  <si>
    <t>BL-100508</t>
  </si>
  <si>
    <t>BL-100509</t>
  </si>
  <si>
    <t>BL-100510</t>
  </si>
  <si>
    <t>BL-100511</t>
  </si>
  <si>
    <t>BL-100512</t>
  </si>
  <si>
    <t>BL-100513</t>
  </si>
  <si>
    <t>BL-100514</t>
  </si>
  <si>
    <t>BL-100515</t>
  </si>
  <si>
    <t>BL-100516</t>
  </si>
  <si>
    <t>BL-100517</t>
  </si>
  <si>
    <t>BL-100518</t>
  </si>
  <si>
    <t>BL-100519</t>
  </si>
  <si>
    <t>BL-100520</t>
  </si>
  <si>
    <t>BL-100521</t>
  </si>
  <si>
    <t>BL-100522</t>
  </si>
  <si>
    <t>BL-100523</t>
  </si>
  <si>
    <t>BL-100524</t>
  </si>
  <si>
    <t>BL-100525</t>
  </si>
  <si>
    <t>BL-100526</t>
  </si>
  <si>
    <t>BL-100527</t>
  </si>
  <si>
    <t>BL-100528</t>
  </si>
  <si>
    <t>BL-100529</t>
  </si>
  <si>
    <t>BL-100530</t>
  </si>
  <si>
    <t>BL-100531</t>
  </si>
  <si>
    <t>BL-100532</t>
  </si>
  <si>
    <t>BL-100533</t>
  </si>
  <si>
    <t>BL-100534</t>
  </si>
  <si>
    <t>BL-100535</t>
  </si>
  <si>
    <t>BL-100536</t>
  </si>
  <si>
    <t>BL-100537</t>
  </si>
  <si>
    <t>BL-100538</t>
  </si>
  <si>
    <t>BL-100539</t>
  </si>
  <si>
    <t>BL-100540</t>
  </si>
  <si>
    <t>BL-100541</t>
  </si>
  <si>
    <t>BL-100542</t>
  </si>
  <si>
    <t>BL-100543</t>
  </si>
  <si>
    <t>BL-100544</t>
  </si>
  <si>
    <t>BL-100545</t>
  </si>
  <si>
    <t>BL-100546</t>
  </si>
  <si>
    <t>BL-100547</t>
  </si>
  <si>
    <t>BL-100548</t>
  </si>
  <si>
    <t>BL-100549</t>
  </si>
  <si>
    <t>BL-100550</t>
  </si>
  <si>
    <t>BL-100551</t>
  </si>
  <si>
    <t>BL-100552</t>
  </si>
  <si>
    <t>BL-100553</t>
  </si>
  <si>
    <t>BL-100554</t>
  </si>
  <si>
    <t>BL-100555</t>
  </si>
  <si>
    <t>BL-100556</t>
  </si>
  <si>
    <t>BL-100557</t>
  </si>
  <si>
    <t>BL-100558</t>
  </si>
  <si>
    <t>BL-100559</t>
  </si>
  <si>
    <t>BL-100560</t>
  </si>
  <si>
    <t>BL-100561</t>
  </si>
  <si>
    <t>BL-100562</t>
  </si>
  <si>
    <t>BL-100563</t>
  </si>
  <si>
    <t>BL-100564</t>
  </si>
  <si>
    <t>BL-100565</t>
  </si>
  <si>
    <t>BL-100566</t>
  </si>
  <si>
    <t>BL-100567</t>
  </si>
  <si>
    <t>BL-100568</t>
  </si>
  <si>
    <t>BL-100569</t>
  </si>
  <si>
    <t>BL-100570</t>
  </si>
  <si>
    <t>BL-100571</t>
  </si>
  <si>
    <t>BL-100572</t>
  </si>
  <si>
    <t>BL-100573</t>
  </si>
  <si>
    <t>BL-100574</t>
  </si>
  <si>
    <t>BL-100575</t>
  </si>
  <si>
    <t>BL-100576</t>
  </si>
  <si>
    <t>BL-100577</t>
  </si>
  <si>
    <t>BL-100578</t>
  </si>
  <si>
    <t>BL-100579</t>
  </si>
  <si>
    <t>BL-100580</t>
  </si>
  <si>
    <t>BL-100581</t>
  </si>
  <si>
    <t>BL-100582</t>
  </si>
  <si>
    <t>BL-100583</t>
  </si>
  <si>
    <t>BL-100584</t>
  </si>
  <si>
    <t>BL-100585</t>
  </si>
  <si>
    <t>BL-100586</t>
  </si>
  <si>
    <t>BL-100587</t>
  </si>
  <si>
    <t>BL-100588</t>
  </si>
  <si>
    <t>BL-100589</t>
  </si>
  <si>
    <t>BL-100590</t>
  </si>
  <si>
    <t>BL-100591</t>
  </si>
  <si>
    <t>BL-100592</t>
  </si>
  <si>
    <t>BL-100593</t>
  </si>
  <si>
    <t>BL-100594</t>
  </si>
  <si>
    <t>BL-100595</t>
  </si>
  <si>
    <t>BL-100596</t>
  </si>
  <si>
    <t>BL-100597</t>
  </si>
  <si>
    <t>BL-100598</t>
  </si>
  <si>
    <t>BL-100599</t>
  </si>
  <si>
    <t>BL-100600</t>
  </si>
  <si>
    <t>BL-100601</t>
  </si>
  <si>
    <t>BL-100602</t>
  </si>
  <si>
    <t>BL-100603</t>
  </si>
  <si>
    <t>BL-100604</t>
  </si>
  <si>
    <t>BL-100605</t>
  </si>
  <si>
    <t>BL-100606</t>
  </si>
  <si>
    <t>BL-100607</t>
  </si>
  <si>
    <t>BL-100608</t>
  </si>
  <si>
    <t>BL-100609</t>
  </si>
  <si>
    <t>BL-100610</t>
  </si>
  <si>
    <t>BL-100611</t>
  </si>
  <si>
    <t>BL-100612</t>
  </si>
  <si>
    <t>BL-100613</t>
  </si>
  <si>
    <t>BL-100614</t>
  </si>
  <si>
    <t>BL-100615</t>
  </si>
  <si>
    <t>BL-100616</t>
  </si>
  <si>
    <t>BL-100617</t>
  </si>
  <si>
    <t>BL-100618</t>
  </si>
  <si>
    <t>BL-100619</t>
  </si>
  <si>
    <t>BL-100620</t>
  </si>
  <si>
    <t>BL-100621</t>
  </si>
  <si>
    <t>BL-100622</t>
  </si>
  <si>
    <t>BL-100623</t>
  </si>
  <si>
    <t>BL-100624</t>
  </si>
  <si>
    <t>BL-100625</t>
  </si>
  <si>
    <t>BL-100626</t>
  </si>
  <si>
    <t>BL-100627</t>
  </si>
  <si>
    <t>BL-100628</t>
  </si>
  <si>
    <t>BL-100629</t>
  </si>
  <si>
    <t>BL-100630</t>
  </si>
  <si>
    <t>BL-100631</t>
  </si>
  <si>
    <t>BL-100632</t>
  </si>
  <si>
    <t>BL-100633</t>
  </si>
  <si>
    <t>BL-100634</t>
  </si>
  <si>
    <t>BL-100635</t>
  </si>
  <si>
    <t>BL-100636</t>
  </si>
  <si>
    <t>BL-100637</t>
  </si>
  <si>
    <t>BL-100638</t>
  </si>
  <si>
    <t>BL-100639</t>
  </si>
  <si>
    <t>BL-100640</t>
  </si>
  <si>
    <t>BL-100641</t>
  </si>
  <si>
    <t>BL-100642</t>
  </si>
  <si>
    <t>BL-100643</t>
  </si>
  <si>
    <t>BL-100644</t>
  </si>
  <si>
    <t>BL-100645</t>
  </si>
  <si>
    <t>BL-100646</t>
  </si>
  <si>
    <t>BL-100647</t>
  </si>
  <si>
    <t>BL-100648</t>
  </si>
  <si>
    <t>BL-100649</t>
  </si>
  <si>
    <t>BL-100650</t>
  </si>
  <si>
    <t>BL-100651</t>
  </si>
  <si>
    <t>BL-100652</t>
  </si>
  <si>
    <t>BL-100653</t>
  </si>
  <si>
    <t>BL-100654</t>
  </si>
  <si>
    <t>BL-100655</t>
  </si>
  <si>
    <t>BL-100656</t>
  </si>
  <si>
    <t>BL-100657</t>
  </si>
  <si>
    <t>BL-100658</t>
  </si>
  <si>
    <t>BL-100659</t>
  </si>
  <si>
    <t>BL-100660</t>
  </si>
  <si>
    <t>BL-100661</t>
  </si>
  <si>
    <t>BL-100662</t>
  </si>
  <si>
    <t>BL-100663</t>
  </si>
  <si>
    <t>BL-100664</t>
  </si>
  <si>
    <t>BL-100665</t>
  </si>
  <si>
    <t>BL-100666</t>
  </si>
  <si>
    <t>BL-100667</t>
  </si>
  <si>
    <t>BL-100668</t>
  </si>
  <si>
    <t>BL-100669</t>
  </si>
  <si>
    <t>BL-100670</t>
  </si>
  <si>
    <t>BL-100671</t>
  </si>
  <si>
    <t>BL-100672</t>
  </si>
  <si>
    <t>BL-100673</t>
  </si>
  <si>
    <t>BL-100674</t>
  </si>
  <si>
    <t>BL-100675</t>
  </si>
  <si>
    <t>BL-100676</t>
  </si>
  <si>
    <t>BL-100677</t>
  </si>
  <si>
    <t>BL-100678</t>
  </si>
  <si>
    <t>BL-100679</t>
  </si>
  <si>
    <t>BL-100680</t>
  </si>
  <si>
    <t>BL-100681</t>
  </si>
  <si>
    <t>BL-100682</t>
  </si>
  <si>
    <t>BL-100683</t>
  </si>
  <si>
    <t>BL-100684</t>
  </si>
  <si>
    <t>BL-100685</t>
  </si>
  <si>
    <t>BL-100686</t>
  </si>
  <si>
    <t>BL-100687</t>
  </si>
  <si>
    <t>BL-100688</t>
  </si>
  <si>
    <t>BL-100689</t>
  </si>
  <si>
    <t>BL-100690</t>
  </si>
  <si>
    <t>BL-100691</t>
  </si>
  <si>
    <t>BL-100692</t>
  </si>
  <si>
    <t>BL-100693</t>
  </si>
  <si>
    <t>BL-100694</t>
  </si>
  <si>
    <t>BL-100695</t>
  </si>
  <si>
    <t>BL-100696</t>
  </si>
  <si>
    <t>BL-100697</t>
  </si>
  <si>
    <t>BL-100698</t>
  </si>
  <si>
    <t>BL-100699</t>
  </si>
  <si>
    <t>BL-100700</t>
  </si>
  <si>
    <t>BL-100701</t>
  </si>
  <si>
    <t>BL-100702</t>
  </si>
  <si>
    <t>BL-100703</t>
  </si>
  <si>
    <t>BL-100704</t>
  </si>
  <si>
    <t>BL-100705</t>
  </si>
  <si>
    <t>BL-100706</t>
  </si>
  <si>
    <t>BL-100707</t>
  </si>
  <si>
    <t>BL-100708</t>
  </si>
  <si>
    <t>BL-100709</t>
  </si>
  <si>
    <t>BL-100710</t>
  </si>
  <si>
    <t>BL-100711</t>
  </si>
  <si>
    <t>BL-100712</t>
  </si>
  <si>
    <t>BL-100713</t>
  </si>
  <si>
    <t>BL-100714</t>
  </si>
  <si>
    <t>BL-100715</t>
  </si>
  <si>
    <t>BL-100716</t>
  </si>
  <si>
    <t>BL-100717</t>
  </si>
  <si>
    <t>BL-100718</t>
  </si>
  <si>
    <t>BL-100719</t>
  </si>
  <si>
    <t>BL-100720</t>
  </si>
  <si>
    <t>BL-100721</t>
  </si>
  <si>
    <t>BL-100722</t>
  </si>
  <si>
    <t>BL-100723</t>
  </si>
  <si>
    <t>BL-100724</t>
  </si>
  <si>
    <t>BL-100725</t>
  </si>
  <si>
    <t>BL-100726</t>
  </si>
  <si>
    <t>BL-100727</t>
  </si>
  <si>
    <t>BL-100728</t>
  </si>
  <si>
    <t>BL-100729</t>
  </si>
  <si>
    <t>BL-100730</t>
  </si>
  <si>
    <t>BL-100731</t>
  </si>
  <si>
    <t>BL-100732</t>
  </si>
  <si>
    <t>BL-100733</t>
  </si>
  <si>
    <t>BL-100734</t>
  </si>
  <si>
    <t>BL-100735</t>
  </si>
  <si>
    <t>BL-100736</t>
  </si>
  <si>
    <t>BL-100737</t>
  </si>
  <si>
    <t>BL-100738</t>
  </si>
  <si>
    <t>BL-100739</t>
  </si>
  <si>
    <t>BL-100740</t>
  </si>
  <si>
    <t>BL-100741</t>
  </si>
  <si>
    <t>BL-100742</t>
  </si>
  <si>
    <t>BL-100743</t>
  </si>
  <si>
    <t>BL-100744</t>
  </si>
  <si>
    <t>BL-100745</t>
  </si>
  <si>
    <t>BL-100746</t>
  </si>
  <si>
    <t>BL-100747</t>
  </si>
  <si>
    <t>BL-100748</t>
  </si>
  <si>
    <t>BL-100749</t>
  </si>
  <si>
    <t>BL-100750</t>
  </si>
  <si>
    <t>BL-100751</t>
  </si>
  <si>
    <t>BL-100752</t>
  </si>
  <si>
    <t>BL-100753</t>
  </si>
  <si>
    <t>BL-100754</t>
  </si>
  <si>
    <t>BL-100755</t>
  </si>
  <si>
    <t>BL-100756</t>
  </si>
  <si>
    <t>BL-100757</t>
  </si>
  <si>
    <t>BL-100758</t>
  </si>
  <si>
    <t>BL-100759</t>
  </si>
  <si>
    <t>BL-100760</t>
  </si>
  <si>
    <t>BL-100761</t>
  </si>
  <si>
    <t>BL-100762</t>
  </si>
  <si>
    <t>BL-100763</t>
  </si>
  <si>
    <t>BL-100764</t>
  </si>
  <si>
    <t>BL-100765</t>
  </si>
  <si>
    <t>BL-100766</t>
  </si>
  <si>
    <t>BL-100767</t>
  </si>
  <si>
    <t>BL-100768</t>
  </si>
  <si>
    <t>BL-100769</t>
  </si>
  <si>
    <t>BL-100770</t>
  </si>
  <si>
    <t>BL-100771</t>
  </si>
  <si>
    <t>BL-100772</t>
  </si>
  <si>
    <t>BL-100773</t>
  </si>
  <si>
    <t>BL-100774</t>
  </si>
  <si>
    <t>BL-100775</t>
  </si>
  <si>
    <t>BL-100776</t>
  </si>
  <si>
    <t>BL-100777</t>
  </si>
  <si>
    <t>BL-100778</t>
  </si>
  <si>
    <t>BL-100779</t>
  </si>
  <si>
    <t>BL-100780</t>
  </si>
  <si>
    <t>BL-100781</t>
  </si>
  <si>
    <t>BL-100782</t>
  </si>
  <si>
    <t>BL-100783</t>
  </si>
  <si>
    <t>BL-100784</t>
  </si>
  <si>
    <t>BL-100785</t>
  </si>
  <si>
    <t>BL-100786</t>
  </si>
  <si>
    <t>BL-100787</t>
  </si>
  <si>
    <t>BL-100788</t>
  </si>
  <si>
    <t>BL-100789</t>
  </si>
  <si>
    <t>BL-100790</t>
  </si>
  <si>
    <t>BL-100791</t>
  </si>
  <si>
    <t>BL-100792</t>
  </si>
  <si>
    <t>BL-100793</t>
  </si>
  <si>
    <t>BL-100794</t>
  </si>
  <si>
    <t>BL-100795</t>
  </si>
  <si>
    <t>BL-100796</t>
  </si>
  <si>
    <t>BL-100797</t>
  </si>
  <si>
    <t>BL-100798</t>
  </si>
  <si>
    <t>BL-100799</t>
  </si>
  <si>
    <t>BL-100800</t>
  </si>
  <si>
    <t>BL-100801</t>
  </si>
  <si>
    <t>BL-100802</t>
  </si>
  <si>
    <t>BL-100803</t>
  </si>
  <si>
    <t>BL-100804</t>
  </si>
  <si>
    <t>BL-100805</t>
  </si>
  <si>
    <t>BL-100806</t>
  </si>
  <si>
    <t>BL-100807</t>
  </si>
  <si>
    <t>BL-100808</t>
  </si>
  <si>
    <t>BL-100809</t>
  </si>
  <si>
    <t>BL-100810</t>
  </si>
  <si>
    <t>BL-100811</t>
  </si>
  <si>
    <t>BL-100812</t>
  </si>
  <si>
    <t>BL-100813</t>
  </si>
  <si>
    <t>BL-100814</t>
  </si>
  <si>
    <t>BL-100815</t>
  </si>
  <si>
    <t>BL-100816</t>
  </si>
  <si>
    <t>BL-100817</t>
  </si>
  <si>
    <t>BL-100818</t>
  </si>
  <si>
    <t>BL-100819</t>
  </si>
  <si>
    <t>BL-100820</t>
  </si>
  <si>
    <t>BL-100821</t>
  </si>
  <si>
    <t>BL-100822</t>
  </si>
  <si>
    <t>BL-100823</t>
  </si>
  <si>
    <t>BL-100824</t>
  </si>
  <si>
    <t>BL-100825</t>
  </si>
  <si>
    <t>BL-100826</t>
  </si>
  <si>
    <t>BL-100827</t>
  </si>
  <si>
    <t>BL-100828</t>
  </si>
  <si>
    <t>BL-100829</t>
  </si>
  <si>
    <t>BL-100830</t>
  </si>
  <si>
    <t>BL-100831</t>
  </si>
  <si>
    <t>BL-100832</t>
  </si>
  <si>
    <t>BL-100833</t>
  </si>
  <si>
    <t>BL-100834</t>
  </si>
  <si>
    <t>BL-100835</t>
  </si>
  <si>
    <t>BL-100836</t>
  </si>
  <si>
    <t>BL-100837</t>
  </si>
  <si>
    <t>BL-100838</t>
  </si>
  <si>
    <t>BL-100839</t>
  </si>
  <si>
    <t>BL-100840</t>
  </si>
  <si>
    <t>BL-100841</t>
  </si>
  <si>
    <t>BL-100842</t>
  </si>
  <si>
    <t>BL-100843</t>
  </si>
  <si>
    <t>BL-100844</t>
  </si>
  <si>
    <t>BL-100845</t>
  </si>
  <si>
    <t>BL-100846</t>
  </si>
  <si>
    <t>BL-100847</t>
  </si>
  <si>
    <t>BL-100848</t>
  </si>
  <si>
    <t>BL-100849</t>
  </si>
  <si>
    <t>BL-100850</t>
  </si>
  <si>
    <t>BL-100851</t>
  </si>
  <si>
    <t>BL-100852</t>
  </si>
  <si>
    <t>BL-100853</t>
  </si>
  <si>
    <t>BL-100854</t>
  </si>
  <si>
    <t>BL-100855</t>
  </si>
  <si>
    <t>BL-100856</t>
  </si>
  <si>
    <t>BL-100857</t>
  </si>
  <si>
    <t>BL-100858</t>
  </si>
  <si>
    <t>BL-100859</t>
  </si>
  <si>
    <t>BL-100860</t>
  </si>
  <si>
    <t>BL-100861</t>
  </si>
  <si>
    <t>BL-100862</t>
  </si>
  <si>
    <t>BL-100863</t>
  </si>
  <si>
    <t>BL-100864</t>
  </si>
  <si>
    <t>BL-100865</t>
  </si>
  <si>
    <t>BL-100866</t>
  </si>
  <si>
    <t>BL-100867</t>
  </si>
  <si>
    <t>BL-100868</t>
  </si>
  <si>
    <t>BL-100869</t>
  </si>
  <si>
    <t>BL-100870</t>
  </si>
  <si>
    <t>BL-100871</t>
  </si>
  <si>
    <t>BL-100872</t>
  </si>
  <si>
    <t>BL-100873</t>
  </si>
  <si>
    <t>BL-100874</t>
  </si>
  <si>
    <t>BL-100875</t>
  </si>
  <si>
    <t>BL-100876</t>
  </si>
  <si>
    <t>BL-100877</t>
  </si>
  <si>
    <t>BL-100878</t>
  </si>
  <si>
    <t>BL-100879</t>
  </si>
  <si>
    <t>BL-100880</t>
  </si>
  <si>
    <t>BL-100881</t>
  </si>
  <si>
    <t>BL-100882</t>
  </si>
  <si>
    <t>BL-100883</t>
  </si>
  <si>
    <t>BL-100884</t>
  </si>
  <si>
    <t>BL-100885</t>
  </si>
  <si>
    <t>BL-100886</t>
  </si>
  <si>
    <t>BL-100887</t>
  </si>
  <si>
    <t>BL-100888</t>
  </si>
  <si>
    <t>BL-100889</t>
  </si>
  <si>
    <t>BL-100890</t>
  </si>
  <si>
    <t>BL-100891</t>
  </si>
  <si>
    <t>BL-100892</t>
  </si>
  <si>
    <t>BL-100893</t>
  </si>
  <si>
    <t>BL-100894</t>
  </si>
  <si>
    <t>BL-100895</t>
  </si>
  <si>
    <t>BL-100896</t>
  </si>
  <si>
    <t>BL-100897</t>
  </si>
  <si>
    <t>BL-100898</t>
  </si>
  <si>
    <t>BL-100899</t>
  </si>
  <si>
    <t>BL-100900</t>
  </si>
  <si>
    <t>BL-100901</t>
  </si>
  <si>
    <t>BL-100902</t>
  </si>
  <si>
    <t>BL-100903</t>
  </si>
  <si>
    <t>BL-100904</t>
  </si>
  <si>
    <t>BL-100905</t>
  </si>
  <si>
    <t>BL-100906</t>
  </si>
  <si>
    <t>BL-100907</t>
  </si>
  <si>
    <t>BL-100908</t>
  </si>
  <si>
    <t>BL-100909</t>
  </si>
  <si>
    <t>BL-100910</t>
  </si>
  <si>
    <t>BL-100911</t>
  </si>
  <si>
    <t>BL-100912</t>
  </si>
  <si>
    <t>BL-100913</t>
  </si>
  <si>
    <t>BL-100914</t>
  </si>
  <si>
    <t>BL-100915</t>
  </si>
  <si>
    <t>BL-100916</t>
  </si>
  <si>
    <t>BL-100917</t>
  </si>
  <si>
    <t>BL-100918</t>
  </si>
  <si>
    <t>BL-100919</t>
  </si>
  <si>
    <t>BL-100920</t>
  </si>
  <si>
    <t>BL-100921</t>
  </si>
  <si>
    <t>BL-100922</t>
  </si>
  <si>
    <t>BL-100923</t>
  </si>
  <si>
    <t>BL-100924</t>
  </si>
  <si>
    <t>BL-100925</t>
  </si>
  <si>
    <t>BL-100926</t>
  </si>
  <si>
    <t>BL-100927</t>
  </si>
  <si>
    <t>BL-100928</t>
  </si>
  <si>
    <t>BL-100929</t>
  </si>
  <si>
    <t>BL-100930</t>
  </si>
  <si>
    <t>BL-100931</t>
  </si>
  <si>
    <t>BL-100932</t>
  </si>
  <si>
    <t>BL-100933</t>
  </si>
  <si>
    <t>BL-100934</t>
  </si>
  <si>
    <t>BL-100935</t>
  </si>
  <si>
    <t>BL-100936</t>
  </si>
  <si>
    <t>BL-100937</t>
  </si>
  <si>
    <t>BL-100938</t>
  </si>
  <si>
    <t>BL-100939</t>
  </si>
  <si>
    <t>BL-100940</t>
  </si>
  <si>
    <t>BL-100941</t>
  </si>
  <si>
    <t>BL-100942</t>
  </si>
  <si>
    <t>BL-100943</t>
  </si>
  <si>
    <t>BL-100944</t>
  </si>
  <si>
    <t>BL-100945</t>
  </si>
  <si>
    <t>BL-100946</t>
  </si>
  <si>
    <t>BL-100947</t>
  </si>
  <si>
    <t>BL-100948</t>
  </si>
  <si>
    <t>BL-100949</t>
  </si>
  <si>
    <t>BL-100950</t>
  </si>
  <si>
    <t>BL-100951</t>
  </si>
  <si>
    <t>BL-100952</t>
  </si>
  <si>
    <t>BL-100953</t>
  </si>
  <si>
    <t>BL-100954</t>
  </si>
  <si>
    <t>BL-100955</t>
  </si>
  <si>
    <t>BL-100956</t>
  </si>
  <si>
    <t>BL-100957</t>
  </si>
  <si>
    <t>BL-100958</t>
  </si>
  <si>
    <t>BL-100959</t>
  </si>
  <si>
    <t>BL-100960</t>
  </si>
  <si>
    <t>BL-100961</t>
  </si>
  <si>
    <t>BL-100962</t>
  </si>
  <si>
    <t>BL-100963</t>
  </si>
  <si>
    <t>BL-100964</t>
  </si>
  <si>
    <t>BL-100965</t>
  </si>
  <si>
    <t>BL-100966</t>
  </si>
  <si>
    <t>BL-100967</t>
  </si>
  <si>
    <t>BL-100968</t>
  </si>
  <si>
    <t>BL-100969</t>
  </si>
  <si>
    <t>BL-100970</t>
  </si>
  <si>
    <t>BL-100971</t>
  </si>
  <si>
    <t>BL-100972</t>
  </si>
  <si>
    <t>BL-100973</t>
  </si>
  <si>
    <t>BL-100974</t>
  </si>
  <si>
    <t>BL-100975</t>
  </si>
  <si>
    <t>BL-100976</t>
  </si>
  <si>
    <t>BL-100977</t>
  </si>
  <si>
    <t>BL-100978</t>
  </si>
  <si>
    <t>BL-100979</t>
  </si>
  <si>
    <t>BL-100980</t>
  </si>
  <si>
    <t>BL-100981</t>
  </si>
  <si>
    <t>BL-100982</t>
  </si>
  <si>
    <t>BL-100983</t>
  </si>
  <si>
    <t>BL-100984</t>
  </si>
  <si>
    <t>BL-100985</t>
  </si>
  <si>
    <t>BL-100986</t>
  </si>
  <si>
    <t>BL-100987</t>
  </si>
  <si>
    <t>BL-100988</t>
  </si>
  <si>
    <t>BL-100989</t>
  </si>
  <si>
    <t>BL-100990</t>
  </si>
  <si>
    <t>BL-100991</t>
  </si>
  <si>
    <t>BL-100992</t>
  </si>
  <si>
    <t>BL-100993</t>
  </si>
  <si>
    <t>BL-100994</t>
  </si>
  <si>
    <t>BL-100995</t>
  </si>
  <si>
    <t>BL-100996</t>
  </si>
  <si>
    <t>BL-100997</t>
  </si>
  <si>
    <t>BL-100998</t>
  </si>
  <si>
    <t>BL-100999</t>
  </si>
  <si>
    <t>BL-101000</t>
  </si>
  <si>
    <t>BL-101001</t>
  </si>
  <si>
    <t>BL-101002</t>
  </si>
  <si>
    <t>BL-101003</t>
  </si>
  <si>
    <t>BL-101004</t>
  </si>
  <si>
    <t>BL-101005</t>
  </si>
  <si>
    <t>BL-101006</t>
  </si>
  <si>
    <t>BL-101007</t>
  </si>
  <si>
    <t>BL-101008</t>
  </si>
  <si>
    <t>BL-101009</t>
  </si>
  <si>
    <t>BL-101010</t>
  </si>
  <si>
    <t>BL-101011</t>
  </si>
  <si>
    <t>BL-101012</t>
  </si>
  <si>
    <t>BL-101013</t>
  </si>
  <si>
    <t>BL-101014</t>
  </si>
  <si>
    <t>BL-101015</t>
  </si>
  <si>
    <t>BL-101016</t>
  </si>
  <si>
    <t>BL-101017</t>
  </si>
  <si>
    <t>BL-101018</t>
  </si>
  <si>
    <t>BL-101019</t>
  </si>
  <si>
    <t>BL-101020</t>
  </si>
  <si>
    <t>BL-101021</t>
  </si>
  <si>
    <t>BL-101022</t>
  </si>
  <si>
    <t>BL-101023</t>
  </si>
  <si>
    <t>BL-101024</t>
  </si>
  <si>
    <t>BL-101025</t>
  </si>
  <si>
    <t>BL-101026</t>
  </si>
  <si>
    <t>BL-101027</t>
  </si>
  <si>
    <t>BL-101028</t>
  </si>
  <si>
    <t>BL-101029</t>
  </si>
  <si>
    <t>BL-101030</t>
  </si>
  <si>
    <t>BL-101031</t>
  </si>
  <si>
    <t>BL-101032</t>
  </si>
  <si>
    <t>BL-101033</t>
  </si>
  <si>
    <t>BL-101034</t>
  </si>
  <si>
    <t>BL-101035</t>
  </si>
  <si>
    <t>BL-101036</t>
  </si>
  <si>
    <t>BL-101037</t>
  </si>
  <si>
    <t>BL-101038</t>
  </si>
  <si>
    <t>BL-101039</t>
  </si>
  <si>
    <t>BL-101040</t>
  </si>
  <si>
    <t>BL-101041</t>
  </si>
  <si>
    <t>BL-101042</t>
  </si>
  <si>
    <t>BL-101043</t>
  </si>
  <si>
    <t>BL-101044</t>
  </si>
  <si>
    <t>BL-101045</t>
  </si>
  <si>
    <t>BL-101046</t>
  </si>
  <si>
    <t>BL-101047</t>
  </si>
  <si>
    <t>BL-101048</t>
  </si>
  <si>
    <t>BL-101049</t>
  </si>
  <si>
    <t>BL-101050</t>
  </si>
  <si>
    <t>BL-101051</t>
  </si>
  <si>
    <t>BL-101052</t>
  </si>
  <si>
    <t>BL-101053</t>
  </si>
  <si>
    <t>BL-101054</t>
  </si>
  <si>
    <t>BL-101055</t>
  </si>
  <si>
    <t>BL-101056</t>
  </si>
  <si>
    <t>BL-101057</t>
  </si>
  <si>
    <t>BL-101058</t>
  </si>
  <si>
    <t>BL-101059</t>
  </si>
  <si>
    <t>BL-101060</t>
  </si>
  <si>
    <t>BL-101061</t>
  </si>
  <si>
    <t>BL-101062</t>
  </si>
  <si>
    <t>BL-101063</t>
  </si>
  <si>
    <t>BL-101064</t>
  </si>
  <si>
    <t>BL-101065</t>
  </si>
  <si>
    <t>BL-101066</t>
  </si>
  <si>
    <t>BL-101067</t>
  </si>
  <si>
    <t>BL-101068</t>
  </si>
  <si>
    <t>BL-101069</t>
  </si>
  <si>
    <t>BL-101070</t>
  </si>
  <si>
    <t>BL-101071</t>
  </si>
  <si>
    <t>BL-101072</t>
  </si>
  <si>
    <t>BL-101073</t>
  </si>
  <si>
    <t>BL-101074</t>
  </si>
  <si>
    <t>BL-101075</t>
  </si>
  <si>
    <t>BL-101076</t>
  </si>
  <si>
    <t>BL-101077</t>
  </si>
  <si>
    <t>BL-101078</t>
  </si>
  <si>
    <t>BL-101079</t>
  </si>
  <si>
    <t>BL-101080</t>
  </si>
  <si>
    <t>BL-101081</t>
  </si>
  <si>
    <t>BL-101082</t>
  </si>
  <si>
    <t>BL-101083</t>
  </si>
  <si>
    <t>BL-101084</t>
  </si>
  <si>
    <t>BL-101085</t>
  </si>
  <si>
    <t>BL-101086</t>
  </si>
  <si>
    <t>BL-101087</t>
  </si>
  <si>
    <t>BL-101088</t>
  </si>
  <si>
    <t>BL-101089</t>
  </si>
  <si>
    <t>BL-101090</t>
  </si>
  <si>
    <t>BL-101091</t>
  </si>
  <si>
    <t>BL-101092</t>
  </si>
  <si>
    <t>BL-101093</t>
  </si>
  <si>
    <t>BL-101094</t>
  </si>
  <si>
    <t>BL-101095</t>
  </si>
  <si>
    <t>BL-101096</t>
  </si>
  <si>
    <t>BL-101097</t>
  </si>
  <si>
    <t>BL-101098</t>
  </si>
  <si>
    <t>BL-101099</t>
  </si>
  <si>
    <t>BL-101100</t>
  </si>
  <si>
    <t>BL-101101</t>
  </si>
  <si>
    <t>BL-101102</t>
  </si>
  <si>
    <t>BL-101103</t>
  </si>
  <si>
    <t>BL-101104</t>
  </si>
  <si>
    <t>BL-101105</t>
  </si>
  <si>
    <t>BL-101106</t>
  </si>
  <si>
    <t>BL-101107</t>
  </si>
  <si>
    <t>BL-101108</t>
  </si>
  <si>
    <t>BL-101109</t>
  </si>
  <si>
    <t>BL-101110</t>
  </si>
  <si>
    <t>BL-101111</t>
  </si>
  <si>
    <t>BL-101112</t>
  </si>
  <si>
    <t>BL-101113</t>
  </si>
  <si>
    <t>BL-101114</t>
  </si>
  <si>
    <t>BL-101115</t>
  </si>
  <si>
    <t>BL-101116</t>
  </si>
  <si>
    <t>BL-101117</t>
  </si>
  <si>
    <t>BL-101118</t>
  </si>
  <si>
    <t>BL-101119</t>
  </si>
  <si>
    <t>BL-101120</t>
  </si>
  <si>
    <t>BL-101121</t>
  </si>
  <si>
    <t>BL-101122</t>
  </si>
  <si>
    <t>BL-101123</t>
  </si>
  <si>
    <t>BL-101124</t>
  </si>
  <si>
    <t>BL-101125</t>
  </si>
  <si>
    <t>BL-101126</t>
  </si>
  <si>
    <t>BL-101127</t>
  </si>
  <si>
    <t>BL-101128</t>
  </si>
  <si>
    <t>BL-101129</t>
  </si>
  <si>
    <t>BL-101130</t>
  </si>
  <si>
    <t>BL-101131</t>
  </si>
  <si>
    <t>BL-101132</t>
  </si>
  <si>
    <t>BL-101133</t>
  </si>
  <si>
    <t>BL-101134</t>
  </si>
  <si>
    <t>BL-101135</t>
  </si>
  <si>
    <t>BL-101136</t>
  </si>
  <si>
    <t>BL-101137</t>
  </si>
  <si>
    <t>BL-101138</t>
  </si>
  <si>
    <t>BL-101139</t>
  </si>
  <si>
    <t>BL-101140</t>
  </si>
  <si>
    <t>BL-101141</t>
  </si>
  <si>
    <t>BL-101142</t>
  </si>
  <si>
    <t>BL-101143</t>
  </si>
  <si>
    <t>BL-101144</t>
  </si>
  <si>
    <t>BL-101145</t>
  </si>
  <si>
    <t>BL-101146</t>
  </si>
  <si>
    <t>BL-101147</t>
  </si>
  <si>
    <t>BL-101148</t>
  </si>
  <si>
    <t>BL-101149</t>
  </si>
  <si>
    <t>BL-101150</t>
  </si>
  <si>
    <t>BL-101151</t>
  </si>
  <si>
    <t>BL-101152</t>
  </si>
  <si>
    <t>BL-101153</t>
  </si>
  <si>
    <t>BL-101154</t>
  </si>
  <si>
    <t>BL-101155</t>
  </si>
  <si>
    <t>BL-101156</t>
  </si>
  <si>
    <t>BL-101157</t>
  </si>
  <si>
    <t>BL-101158</t>
  </si>
  <si>
    <t>BL-101159</t>
  </si>
  <si>
    <t>BL-101160</t>
  </si>
  <si>
    <t>BL-101161</t>
  </si>
  <si>
    <t>BL-101162</t>
  </si>
  <si>
    <t>BL-101163</t>
  </si>
  <si>
    <t>BL-101164</t>
  </si>
  <si>
    <t>BL-101165</t>
  </si>
  <si>
    <t>BL-101166</t>
  </si>
  <si>
    <t>BL-101167</t>
  </si>
  <si>
    <t>BL-101168</t>
  </si>
  <si>
    <t>BL-101169</t>
  </si>
  <si>
    <t>BL-101170</t>
  </si>
  <si>
    <t>BL-101171</t>
  </si>
  <si>
    <t>BL-101172</t>
  </si>
  <si>
    <t>BL-101173</t>
  </si>
  <si>
    <t>BL-101174</t>
  </si>
  <si>
    <t>BL-101175</t>
  </si>
  <si>
    <t>BL-101176</t>
  </si>
  <si>
    <t>BL-101177</t>
  </si>
  <si>
    <t>BL-101178</t>
  </si>
  <si>
    <t>BL-101179</t>
  </si>
  <si>
    <t>BL-101180</t>
  </si>
  <si>
    <t>BL-101181</t>
  </si>
  <si>
    <t>BL-101182</t>
  </si>
  <si>
    <t>BL-101183</t>
  </si>
  <si>
    <t>BL-101184</t>
  </si>
  <si>
    <t>BL-101185</t>
  </si>
  <si>
    <t>BL-101186</t>
  </si>
  <si>
    <t>BL-101187</t>
  </si>
  <si>
    <t>BL-101188</t>
  </si>
  <si>
    <t>BL-101189</t>
  </si>
  <si>
    <t>BL-101190</t>
  </si>
  <si>
    <t>BL-101191</t>
  </si>
  <si>
    <t>BL-101192</t>
  </si>
  <si>
    <t>BL-101193</t>
  </si>
  <si>
    <t>BL-101194</t>
  </si>
  <si>
    <t>BL-101195</t>
  </si>
  <si>
    <t>BL-101196</t>
  </si>
  <si>
    <t>BL-101197</t>
  </si>
  <si>
    <t>BL-101198</t>
  </si>
  <si>
    <t>BL-101199</t>
  </si>
  <si>
    <t>BL-101200</t>
  </si>
  <si>
    <t>Logistics KPI Dashboard</t>
  </si>
  <si>
    <t>KPI</t>
  </si>
  <si>
    <t>Value</t>
  </si>
  <si>
    <t>On-Time Delivery %</t>
  </si>
  <si>
    <t>Avg Processing Time (Days)</t>
  </si>
  <si>
    <t>Delay Rate %</t>
  </si>
  <si>
    <t>Docs Error Rate %</t>
  </si>
  <si>
    <t>Total Shipments</t>
  </si>
  <si>
    <t>Delay Frequency by Carrier</t>
  </si>
  <si>
    <t>Total</t>
  </si>
  <si>
    <t>Delay Rate</t>
  </si>
  <si>
    <t>Monthly On-Time % (Seasonality)</t>
  </si>
  <si>
    <t>Month</t>
  </si>
  <si>
    <t>On-Time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</si>
  <si>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</si>
  <si>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</si>
  <si>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</si>
  <si>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</si>
  <si>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</si>
  <si>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</si>
  <si>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</si>
  <si>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</si>
  <si>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</si>
  <si>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</si>
  <si>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</si>
  <si>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</si>
  <si>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Documentation Error Rate by Shipper</t>
  </si>
  <si>
    <t>Docs Error Rate</t>
  </si>
  <si>
    <t>Documentation Error Rate Over Time</t>
  </si>
  <si>
    <t>Docs Error %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</si>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</sst>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sz val="11"/>
      <color rgb="FF808080"/>
      <name val="Calibri"/>
    </font>
    <font>
      <b/>
      <sz val="24"/>
      <color rgb="FF1F4E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0" fontId="2" fillId="3" borderId="0" xfId="0" applyFont="1" applyFill="1"/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/>
    <xf numFmtId="165" fontId="0" fillId="0" borderId="0" xfId="0" applyNumberFormat="1"/>
    <xf numFmtId="164" fontId="4" fillId="0" borderId="0" xfId="0" applyNumberFormat="1" applyFont="1"/>
    <xf numFmtId="0" fontId="2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Delay Rate by Carrier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Dashboard!$D$14</c:f>
              <c:strCache>
                <c:ptCount val="1"/>
                <c:pt idx="0">
                  <c:v>Delay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Dashboard!$A$15:$A$19</c:f>
              <c:strCache>
                <c:ptCount val="5"/>
                <c:pt idx="0">
                  <c:v>UPS</c:v>
                </c:pt>
                <c:pt idx="1">
                  <c:v>FedEx</c:v>
                </c:pt>
                <c:pt idx="2">
                  <c:v>XPO</c:v>
                </c:pt>
                <c:pt idx="3">
                  <c:v>DHL</c:v>
                </c:pt>
                <c:pt idx="4">
                  <c:v>USPS</c:v>
                </c:pt>
              </c:strCache>
            </c:strRef>
          </c:cat>
          <c:val>
            <c:numRef>
              <c:f>Dashboard!$D$15:$D$19</c:f>
              <c:numCache>
                <c:formatCode>0.0%</c:formatCode>
                <c:ptCount val="5"/>
                <c:pt idx="0">
                  <c:v>0.15652173913043479</c:v>
                </c:pt>
                <c:pt idx="1">
                  <c:v>0.13409961685823754</c:v>
                </c:pt>
                <c:pt idx="2">
                  <c:v>0.15384615384615385</c:v>
                </c:pt>
                <c:pt idx="3">
                  <c:v>0.15702479338842976</c:v>
                </c:pt>
                <c:pt idx="4">
                  <c:v>0.1630901287553648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7-40AE-9896-E381D0BD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Carrier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Delay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On-Time %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Dashboard!$B$28</c:f>
              <c:strCache>
                <c:ptCount val="1"/>
                <c:pt idx="0">
                  <c:v>On-Time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Dashboard!$A$29:$A$40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Dashboard!$B$29:$B$40</c:f>
              <c:numCache>
                <c:formatCode>0.0%</c:formatCode>
                <c:ptCount val="12"/>
                <c:pt idx="0">
                  <c:v>0.7857142857142857</c:v>
                </c:pt>
                <c:pt idx="1">
                  <c:v>0.77586206896551724</c:v>
                </c:pt>
                <c:pt idx="2">
                  <c:v>0.75</c:v>
                </c:pt>
                <c:pt idx="3">
                  <c:v>0.875</c:v>
                </c:pt>
                <c:pt idx="4">
                  <c:v>0.86021505376344087</c:v>
                </c:pt>
                <c:pt idx="5">
                  <c:v>0.79411764705882348</c:v>
                </c:pt>
                <c:pt idx="6">
                  <c:v>0.76767676767676762</c:v>
                </c:pt>
                <c:pt idx="7">
                  <c:v>0.80198019801980203</c:v>
                </c:pt>
                <c:pt idx="8">
                  <c:v>0.82978723404255317</c:v>
                </c:pt>
                <c:pt idx="9">
                  <c:v>0.83505154639175261</c:v>
                </c:pt>
                <c:pt idx="10">
                  <c:v>0.78321678321678323</c:v>
                </c:pt>
                <c:pt idx="11">
                  <c:v>0.68531468531468531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07-4639-8BD9-63D84BDAD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On-Time 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Documentation Error Rate by Shipper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Dashboard!$B$47</c:f>
              <c:strCache>
                <c:ptCount val="1"/>
                <c:pt idx="0">
                  <c:v>Docs Error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Dashboard!$A$48:$A$52</c:f>
              <c:strCache>
                <c:ptCount val="5"/>
                <c:pt idx="0">
                  <c:v>Amazon</c:v>
                </c:pt>
                <c:pt idx="1">
                  <c:v>Walmart</c:v>
                </c:pt>
                <c:pt idx="2">
                  <c:v>CVS</c:v>
                </c:pt>
                <c:pt idx="3">
                  <c:v>Target</c:v>
                </c:pt>
                <c:pt idx="4">
                  <c:v>Costco</c:v>
                </c:pt>
              </c:strCache>
            </c:strRef>
          </c:cat>
          <c:val>
            <c:numRef>
              <c:f>Dashboard!$B$48:$B$52</c:f>
              <c:numCache>
                <c:formatCode>0.0%</c:formatCode>
                <c:ptCount val="5"/>
                <c:pt idx="0">
                  <c:v>0.14746543778801843</c:v>
                </c:pt>
                <c:pt idx="1">
                  <c:v>0.15447154471544716</c:v>
                </c:pt>
                <c:pt idx="2">
                  <c:v>0.14227642276422764</c:v>
                </c:pt>
                <c:pt idx="3">
                  <c:v>0.15139442231075698</c:v>
                </c:pt>
                <c:pt idx="4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8-4E16-AC79-5662C31CB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Shipper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Docs Error Rate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8.819444444444445E-2"/>
          <c:w val="0.84976076388888888"/>
          <c:h val="0.90298611111111116"/>
        </c:manualLayout>
      </c:layout>
      <c:lineChart>
        <c:grouping val="standard"/>
        <c:varyColors val="1"/>
        <c:ser>
          <c:idx val="0"/>
          <c:order val="0"/>
          <c:tx>
            <c:strRef>
              <c:f>Dashboard!$B$59</c:f>
              <c:strCache>
                <c:ptCount val="1"/>
                <c:pt idx="0">
                  <c:v>Docs Error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Dashboard!$A$60:$A$71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Dashboard!$B$60:$B$71</c:f>
              <c:numCache>
                <c:formatCode>0.0%</c:formatCode>
                <c:ptCount val="12"/>
                <c:pt idx="0">
                  <c:v>0.11224489795918367</c:v>
                </c:pt>
                <c:pt idx="1">
                  <c:v>0.17241379310344829</c:v>
                </c:pt>
                <c:pt idx="2">
                  <c:v>0.27380952380952384</c:v>
                </c:pt>
                <c:pt idx="3">
                  <c:v>0.18181818181818182</c:v>
                </c:pt>
                <c:pt idx="4">
                  <c:v>0.17204301075268819</c:v>
                </c:pt>
                <c:pt idx="5">
                  <c:v>0.15686274509803921</c:v>
                </c:pt>
                <c:pt idx="6">
                  <c:v>0.19191919191919191</c:v>
                </c:pt>
                <c:pt idx="7">
                  <c:v>0.21782178217821782</c:v>
                </c:pt>
                <c:pt idx="8">
                  <c:v>0.18085106382978725</c:v>
                </c:pt>
                <c:pt idx="9">
                  <c:v>0.18556701030927836</c:v>
                </c:pt>
                <c:pt idx="10">
                  <c:v>0.23776223776223776</c:v>
                </c:pt>
                <c:pt idx="11">
                  <c:v>0.25874125874125875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5A-4BDE-BFDA-A0964602A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8</xdr:row>
      <xdr:rowOff>133350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323850</xdr:colOff>
      <xdr:row>25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542925</xdr:colOff>
      <xdr:row>42</xdr:row>
      <xdr:rowOff>19050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323850</xdr:colOff>
      <xdr:row>56</xdr:row>
      <xdr:rowOff>180975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abSelected="1" topLeftCell="B1" workbookViewId="0">
      <pane ySplit="1" topLeftCell="A12" activePane="bottomLeft" state="frozen"/>
      <selection pane="bottomLeft" activeCell="I1" sqref="I1:I1048576"/>
    </sheetView>
  </sheetViews>
  <sheetFormatPr defaultRowHeight="15" x14ac:dyDescent="0.25"/>
  <cols>
    <col min="1" max="1" width="12" customWidth="1"/>
    <col min="2" max="2" width="15.140625" bestFit="1" customWidth="1"/>
    <col min="3" max="3" width="10" customWidth="1"/>
    <col min="4" max="4" width="18" customWidth="1"/>
    <col min="5" max="5" width="12" customWidth="1"/>
    <col min="6" max="6" width="10.7109375" customWidth="1"/>
    <col min="7" max="7" width="12.140625" customWidth="1"/>
    <col min="8" max="8" width="15" bestFit="1" customWidth="1"/>
    <col min="9" max="9" width="16.28515625" bestFit="1" customWidth="1"/>
    <col min="10" max="10" width="13" customWidth="1"/>
    <col min="11" max="11" width="11" customWidth="1"/>
    <col min="12" max="12" width="6.42578125" customWidth="1"/>
    <col min="13" max="13" width="11" bestFit="1" customWidth="1"/>
    <col min="14" max="14" width="19.85546875" bestFit="1" customWidth="1"/>
    <col min="15" max="15" width="16.140625" bestFit="1" customWidth="1"/>
    <col min="16" max="16" width="27.7109375" bestFit="1" customWidth="1"/>
    <col min="17" max="17" width="10" customWidth="1"/>
    <col min="18" max="18" width="10.140625" customWidth="1"/>
    <col min="19" max="19" width="7.140625" customWidth="1"/>
    <col min="20" max="20" width="6.42578125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 s="2">
        <v>45699</v>
      </c>
      <c r="G2" s="2">
        <v>45699</v>
      </c>
      <c r="H2" t="s">
        <v>24</v>
      </c>
      <c r="I2" t="s">
        <v>25</v>
      </c>
      <c r="J2" s="2">
        <v>45700</v>
      </c>
      <c r="K2" s="2">
        <v>45701</v>
      </c>
      <c r="L2" t="s">
        <v>26</v>
      </c>
      <c r="M2" t="s">
        <v>27</v>
      </c>
      <c r="O2" t="s">
        <v>28</v>
      </c>
      <c r="Q2">
        <f>IF(K2&lt;=J2,1,0)</f>
        <v>0</v>
      </c>
      <c r="R2" s="3">
        <f>(J2-F2)</f>
        <v>1</v>
      </c>
      <c r="S2">
        <f>IF(M2="Delayed",1,0)</f>
        <v>0</v>
      </c>
      <c r="T2">
        <f>IF(L2="n",1,0)</f>
        <v>0</v>
      </c>
    </row>
    <row r="3" spans="1:20" x14ac:dyDescent="0.25">
      <c r="A3" t="s">
        <v>29</v>
      </c>
      <c r="B3">
        <v>2</v>
      </c>
      <c r="C3" t="s">
        <v>21</v>
      </c>
      <c r="D3" t="s">
        <v>30</v>
      </c>
      <c r="E3" t="s">
        <v>23</v>
      </c>
      <c r="F3" s="2">
        <v>45964</v>
      </c>
      <c r="G3" s="2">
        <v>45966</v>
      </c>
      <c r="H3" t="s">
        <v>31</v>
      </c>
      <c r="I3" t="s">
        <v>25</v>
      </c>
      <c r="J3" s="2">
        <v>45967</v>
      </c>
      <c r="K3" s="2">
        <v>45969</v>
      </c>
      <c r="L3" t="s">
        <v>26</v>
      </c>
      <c r="M3" t="s">
        <v>32</v>
      </c>
      <c r="N3" t="s">
        <v>33</v>
      </c>
      <c r="O3" t="s">
        <v>34</v>
      </c>
      <c r="Q3">
        <f t="shared" ref="Q3:Q66" si="0">IF(K3&lt;=J3,1,0)</f>
        <v>0</v>
      </c>
      <c r="R3" s="3">
        <f t="shared" ref="R3:R66" si="1">(J3-F3)</f>
        <v>3</v>
      </c>
      <c r="S3">
        <f t="shared" ref="S3:S66" si="2">IF(M3="Delayed",1,0)</f>
        <v>1</v>
      </c>
      <c r="T3">
        <f t="shared" ref="T3:T66" si="3">IF(L3="n",1,0)</f>
        <v>0</v>
      </c>
    </row>
    <row r="4" spans="1:20" x14ac:dyDescent="0.25">
      <c r="A4" t="s">
        <v>35</v>
      </c>
      <c r="B4">
        <v>3</v>
      </c>
      <c r="C4" t="s">
        <v>36</v>
      </c>
      <c r="D4" t="s">
        <v>30</v>
      </c>
      <c r="E4" t="s">
        <v>23</v>
      </c>
      <c r="F4" s="2">
        <v>45852</v>
      </c>
      <c r="G4" s="2">
        <v>45852</v>
      </c>
      <c r="H4" t="s">
        <v>31</v>
      </c>
      <c r="I4" t="s">
        <v>25</v>
      </c>
      <c r="J4" s="2">
        <v>45855</v>
      </c>
      <c r="K4" s="2">
        <v>45855</v>
      </c>
      <c r="L4" t="s">
        <v>26</v>
      </c>
      <c r="M4" t="s">
        <v>27</v>
      </c>
      <c r="O4" t="s">
        <v>37</v>
      </c>
      <c r="Q4">
        <f t="shared" si="0"/>
        <v>1</v>
      </c>
      <c r="R4" s="3">
        <f t="shared" si="1"/>
        <v>3</v>
      </c>
      <c r="S4">
        <f t="shared" si="2"/>
        <v>0</v>
      </c>
      <c r="T4">
        <f t="shared" si="3"/>
        <v>0</v>
      </c>
    </row>
    <row r="5" spans="1:20" x14ac:dyDescent="0.25">
      <c r="A5" t="s">
        <v>38</v>
      </c>
      <c r="B5">
        <v>4</v>
      </c>
      <c r="C5" t="s">
        <v>36</v>
      </c>
      <c r="D5" t="s">
        <v>39</v>
      </c>
      <c r="E5" t="s">
        <v>40</v>
      </c>
      <c r="F5" s="2">
        <v>45937</v>
      </c>
      <c r="G5" s="2">
        <v>45938</v>
      </c>
      <c r="H5" t="s">
        <v>41</v>
      </c>
      <c r="I5" t="s">
        <v>42</v>
      </c>
      <c r="J5" s="2">
        <v>45942</v>
      </c>
      <c r="K5" s="2">
        <v>45942</v>
      </c>
      <c r="L5" t="s">
        <v>26</v>
      </c>
      <c r="M5" t="s">
        <v>27</v>
      </c>
      <c r="O5" t="s">
        <v>43</v>
      </c>
      <c r="Q5">
        <f t="shared" si="0"/>
        <v>1</v>
      </c>
      <c r="R5" s="3">
        <f t="shared" si="1"/>
        <v>5</v>
      </c>
      <c r="S5">
        <f t="shared" si="2"/>
        <v>0</v>
      </c>
      <c r="T5">
        <f t="shared" si="3"/>
        <v>0</v>
      </c>
    </row>
    <row r="6" spans="1:20" x14ac:dyDescent="0.25">
      <c r="A6" t="s">
        <v>44</v>
      </c>
      <c r="B6">
        <v>5</v>
      </c>
      <c r="C6" t="s">
        <v>21</v>
      </c>
      <c r="D6" t="s">
        <v>30</v>
      </c>
      <c r="E6" t="s">
        <v>23</v>
      </c>
      <c r="F6" s="2">
        <v>46008</v>
      </c>
      <c r="G6" s="2">
        <v>46009</v>
      </c>
      <c r="H6" t="s">
        <v>45</v>
      </c>
      <c r="I6" t="s">
        <v>25</v>
      </c>
      <c r="J6" s="2">
        <v>46014</v>
      </c>
      <c r="K6" s="2">
        <v>46017</v>
      </c>
      <c r="L6" t="s">
        <v>46</v>
      </c>
      <c r="M6" t="s">
        <v>32</v>
      </c>
      <c r="N6" t="s">
        <v>47</v>
      </c>
      <c r="O6" t="s">
        <v>34</v>
      </c>
      <c r="Q6">
        <f t="shared" si="0"/>
        <v>0</v>
      </c>
      <c r="R6" s="3">
        <f t="shared" si="1"/>
        <v>6</v>
      </c>
      <c r="S6">
        <f t="shared" si="2"/>
        <v>1</v>
      </c>
      <c r="T6">
        <f t="shared" si="3"/>
        <v>1</v>
      </c>
    </row>
    <row r="7" spans="1:20" x14ac:dyDescent="0.25">
      <c r="A7" t="s">
        <v>48</v>
      </c>
      <c r="B7">
        <v>6</v>
      </c>
      <c r="C7" t="s">
        <v>21</v>
      </c>
      <c r="D7" t="s">
        <v>30</v>
      </c>
      <c r="E7" t="s">
        <v>40</v>
      </c>
      <c r="F7" s="2">
        <v>45891</v>
      </c>
      <c r="G7" s="2">
        <v>45891</v>
      </c>
      <c r="H7" t="s">
        <v>41</v>
      </c>
      <c r="I7" t="s">
        <v>25</v>
      </c>
      <c r="J7" s="2">
        <v>45895</v>
      </c>
      <c r="K7" s="2">
        <v>45896</v>
      </c>
      <c r="L7" t="s">
        <v>26</v>
      </c>
      <c r="M7" t="s">
        <v>32</v>
      </c>
      <c r="N7" t="s">
        <v>49</v>
      </c>
      <c r="O7" t="s">
        <v>34</v>
      </c>
      <c r="Q7">
        <f t="shared" si="0"/>
        <v>0</v>
      </c>
      <c r="R7" s="3">
        <f t="shared" si="1"/>
        <v>4</v>
      </c>
      <c r="S7">
        <f t="shared" si="2"/>
        <v>1</v>
      </c>
      <c r="T7">
        <f t="shared" si="3"/>
        <v>0</v>
      </c>
    </row>
    <row r="8" spans="1:20" x14ac:dyDescent="0.25">
      <c r="A8" t="s">
        <v>50</v>
      </c>
      <c r="B8">
        <v>7</v>
      </c>
      <c r="C8" t="s">
        <v>51</v>
      </c>
      <c r="D8" t="s">
        <v>52</v>
      </c>
      <c r="E8" t="s">
        <v>53</v>
      </c>
      <c r="F8" s="2">
        <v>45840</v>
      </c>
      <c r="G8" s="2">
        <v>45842</v>
      </c>
      <c r="H8" t="s">
        <v>45</v>
      </c>
      <c r="I8" t="s">
        <v>54</v>
      </c>
      <c r="J8" s="2">
        <v>45846</v>
      </c>
      <c r="K8" s="2">
        <v>45846</v>
      </c>
      <c r="L8" t="s">
        <v>26</v>
      </c>
      <c r="M8" t="s">
        <v>27</v>
      </c>
      <c r="O8" t="s">
        <v>43</v>
      </c>
      <c r="Q8">
        <f t="shared" si="0"/>
        <v>1</v>
      </c>
      <c r="R8" s="3">
        <f t="shared" si="1"/>
        <v>6</v>
      </c>
      <c r="S8">
        <f t="shared" si="2"/>
        <v>0</v>
      </c>
      <c r="T8">
        <f t="shared" si="3"/>
        <v>0</v>
      </c>
    </row>
    <row r="9" spans="1:20" x14ac:dyDescent="0.25">
      <c r="A9" t="s">
        <v>55</v>
      </c>
      <c r="B9">
        <v>8</v>
      </c>
      <c r="C9" t="s">
        <v>21</v>
      </c>
      <c r="D9" t="s">
        <v>39</v>
      </c>
      <c r="E9" t="s">
        <v>56</v>
      </c>
      <c r="F9" s="2">
        <v>45681</v>
      </c>
      <c r="G9" s="2">
        <v>45681</v>
      </c>
      <c r="H9" t="s">
        <v>41</v>
      </c>
      <c r="I9" t="s">
        <v>25</v>
      </c>
      <c r="J9" s="2">
        <v>45685</v>
      </c>
      <c r="K9" s="2">
        <v>45685</v>
      </c>
      <c r="L9" t="s">
        <v>26</v>
      </c>
      <c r="M9" t="s">
        <v>57</v>
      </c>
      <c r="O9" t="s">
        <v>43</v>
      </c>
      <c r="Q9">
        <f t="shared" si="0"/>
        <v>1</v>
      </c>
      <c r="R9" s="3">
        <f t="shared" si="1"/>
        <v>4</v>
      </c>
      <c r="S9">
        <f t="shared" si="2"/>
        <v>0</v>
      </c>
      <c r="T9">
        <f t="shared" si="3"/>
        <v>0</v>
      </c>
    </row>
    <row r="10" spans="1:20" x14ac:dyDescent="0.25">
      <c r="A10" t="s">
        <v>58</v>
      </c>
      <c r="B10">
        <v>9</v>
      </c>
      <c r="C10" t="s">
        <v>59</v>
      </c>
      <c r="D10" t="s">
        <v>22</v>
      </c>
      <c r="E10" t="s">
        <v>60</v>
      </c>
      <c r="F10" s="2">
        <v>45789</v>
      </c>
      <c r="G10" s="2">
        <v>45791</v>
      </c>
      <c r="H10" t="s">
        <v>61</v>
      </c>
      <c r="I10" t="s">
        <v>62</v>
      </c>
      <c r="J10" s="2">
        <v>45792</v>
      </c>
      <c r="K10" s="2">
        <v>45792</v>
      </c>
      <c r="L10" t="s">
        <v>26</v>
      </c>
      <c r="M10" t="s">
        <v>57</v>
      </c>
      <c r="O10" t="s">
        <v>37</v>
      </c>
      <c r="Q10">
        <f t="shared" si="0"/>
        <v>1</v>
      </c>
      <c r="R10" s="3">
        <f t="shared" si="1"/>
        <v>3</v>
      </c>
      <c r="S10">
        <f t="shared" si="2"/>
        <v>0</v>
      </c>
      <c r="T10">
        <f t="shared" si="3"/>
        <v>0</v>
      </c>
    </row>
    <row r="11" spans="1:20" x14ac:dyDescent="0.25">
      <c r="A11" t="s">
        <v>63</v>
      </c>
      <c r="B11">
        <v>10</v>
      </c>
      <c r="C11" t="s">
        <v>36</v>
      </c>
      <c r="D11" t="s">
        <v>64</v>
      </c>
      <c r="E11" t="s">
        <v>40</v>
      </c>
      <c r="F11" s="2">
        <v>45843</v>
      </c>
      <c r="G11" s="2">
        <v>45844</v>
      </c>
      <c r="H11" t="s">
        <v>45</v>
      </c>
      <c r="I11" t="s">
        <v>54</v>
      </c>
      <c r="J11" s="2">
        <v>45847</v>
      </c>
      <c r="K11" s="2">
        <v>45847</v>
      </c>
      <c r="L11" t="s">
        <v>26</v>
      </c>
      <c r="M11" t="s">
        <v>57</v>
      </c>
      <c r="O11" t="s">
        <v>37</v>
      </c>
      <c r="Q11">
        <f t="shared" si="0"/>
        <v>1</v>
      </c>
      <c r="R11" s="3">
        <f t="shared" si="1"/>
        <v>4</v>
      </c>
      <c r="S11">
        <f t="shared" si="2"/>
        <v>0</v>
      </c>
      <c r="T11">
        <f t="shared" si="3"/>
        <v>0</v>
      </c>
    </row>
    <row r="12" spans="1:20" x14ac:dyDescent="0.25">
      <c r="A12" t="s">
        <v>65</v>
      </c>
      <c r="B12">
        <v>11</v>
      </c>
      <c r="C12" t="s">
        <v>59</v>
      </c>
      <c r="D12" t="s">
        <v>52</v>
      </c>
      <c r="E12" t="s">
        <v>23</v>
      </c>
      <c r="F12" s="2">
        <v>45943</v>
      </c>
      <c r="G12" s="2">
        <v>45943</v>
      </c>
      <c r="H12" t="s">
        <v>24</v>
      </c>
      <c r="I12" t="s">
        <v>25</v>
      </c>
      <c r="J12" s="2">
        <v>45945</v>
      </c>
      <c r="K12" s="2">
        <v>45947</v>
      </c>
      <c r="L12" t="s">
        <v>46</v>
      </c>
      <c r="M12" t="s">
        <v>32</v>
      </c>
      <c r="N12" t="s">
        <v>33</v>
      </c>
      <c r="O12" t="s">
        <v>28</v>
      </c>
      <c r="Q12">
        <f t="shared" si="0"/>
        <v>0</v>
      </c>
      <c r="R12" s="3">
        <f t="shared" si="1"/>
        <v>2</v>
      </c>
      <c r="S12">
        <f t="shared" si="2"/>
        <v>1</v>
      </c>
      <c r="T12">
        <f t="shared" si="3"/>
        <v>1</v>
      </c>
    </row>
    <row r="13" spans="1:20" x14ac:dyDescent="0.25">
      <c r="A13" t="s">
        <v>66</v>
      </c>
      <c r="B13">
        <v>12</v>
      </c>
      <c r="C13" t="s">
        <v>51</v>
      </c>
      <c r="D13" t="s">
        <v>64</v>
      </c>
      <c r="E13" t="s">
        <v>40</v>
      </c>
      <c r="F13" s="2">
        <v>45964</v>
      </c>
      <c r="G13" s="2">
        <v>45964</v>
      </c>
      <c r="H13" t="s">
        <v>24</v>
      </c>
      <c r="I13" t="s">
        <v>54</v>
      </c>
      <c r="J13" s="2">
        <v>45968</v>
      </c>
      <c r="K13" s="2">
        <v>45972</v>
      </c>
      <c r="L13" t="s">
        <v>26</v>
      </c>
      <c r="M13" t="s">
        <v>32</v>
      </c>
      <c r="N13" t="s">
        <v>67</v>
      </c>
      <c r="O13" t="s">
        <v>28</v>
      </c>
      <c r="Q13">
        <f t="shared" si="0"/>
        <v>0</v>
      </c>
      <c r="R13" s="3">
        <f t="shared" si="1"/>
        <v>4</v>
      </c>
      <c r="S13">
        <f t="shared" si="2"/>
        <v>1</v>
      </c>
      <c r="T13">
        <f t="shared" si="3"/>
        <v>0</v>
      </c>
    </row>
    <row r="14" spans="1:20" x14ac:dyDescent="0.25">
      <c r="A14" t="s">
        <v>68</v>
      </c>
      <c r="B14">
        <v>13</v>
      </c>
      <c r="C14" t="s">
        <v>21</v>
      </c>
      <c r="D14" t="s">
        <v>22</v>
      </c>
      <c r="E14" t="s">
        <v>40</v>
      </c>
      <c r="F14" s="2">
        <v>45813</v>
      </c>
      <c r="G14" s="2">
        <v>45813</v>
      </c>
      <c r="H14" t="s">
        <v>45</v>
      </c>
      <c r="I14" t="s">
        <v>62</v>
      </c>
      <c r="J14" s="2">
        <v>45818</v>
      </c>
      <c r="K14" s="2">
        <v>45818</v>
      </c>
      <c r="L14" t="s">
        <v>26</v>
      </c>
      <c r="M14" t="s">
        <v>27</v>
      </c>
      <c r="O14" t="s">
        <v>69</v>
      </c>
      <c r="Q14">
        <f t="shared" si="0"/>
        <v>1</v>
      </c>
      <c r="R14" s="3">
        <f t="shared" si="1"/>
        <v>5</v>
      </c>
      <c r="S14">
        <f t="shared" si="2"/>
        <v>0</v>
      </c>
      <c r="T14">
        <f t="shared" si="3"/>
        <v>0</v>
      </c>
    </row>
    <row r="15" spans="1:20" x14ac:dyDescent="0.25">
      <c r="A15" t="s">
        <v>70</v>
      </c>
      <c r="B15">
        <v>14</v>
      </c>
      <c r="C15" t="s">
        <v>51</v>
      </c>
      <c r="D15" t="s">
        <v>52</v>
      </c>
      <c r="E15" t="s">
        <v>60</v>
      </c>
      <c r="F15" s="2">
        <v>45660</v>
      </c>
      <c r="G15" s="2">
        <v>45662</v>
      </c>
      <c r="H15" t="s">
        <v>31</v>
      </c>
      <c r="I15" t="s">
        <v>25</v>
      </c>
      <c r="J15" s="2">
        <v>45665</v>
      </c>
      <c r="K15" s="2">
        <v>45665</v>
      </c>
      <c r="L15" t="s">
        <v>26</v>
      </c>
      <c r="M15" t="s">
        <v>27</v>
      </c>
      <c r="O15" t="s">
        <v>69</v>
      </c>
      <c r="P15" t="s">
        <v>71</v>
      </c>
      <c r="Q15">
        <f t="shared" si="0"/>
        <v>1</v>
      </c>
      <c r="R15" s="3">
        <f t="shared" si="1"/>
        <v>5</v>
      </c>
      <c r="S15">
        <f t="shared" si="2"/>
        <v>0</v>
      </c>
      <c r="T15">
        <f t="shared" si="3"/>
        <v>0</v>
      </c>
    </row>
    <row r="16" spans="1:20" x14ac:dyDescent="0.25">
      <c r="A16" t="s">
        <v>72</v>
      </c>
      <c r="B16">
        <v>15</v>
      </c>
      <c r="C16" t="s">
        <v>36</v>
      </c>
      <c r="D16" t="s">
        <v>52</v>
      </c>
      <c r="E16" t="s">
        <v>56</v>
      </c>
      <c r="F16" s="2">
        <v>45803</v>
      </c>
      <c r="G16" s="2">
        <v>45803</v>
      </c>
      <c r="H16" t="s">
        <v>24</v>
      </c>
      <c r="I16" t="s">
        <v>73</v>
      </c>
      <c r="J16" s="2">
        <v>45806</v>
      </c>
      <c r="K16" s="2">
        <v>45806</v>
      </c>
      <c r="L16" t="s">
        <v>26</v>
      </c>
      <c r="M16" t="s">
        <v>57</v>
      </c>
      <c r="O16" t="s">
        <v>28</v>
      </c>
      <c r="Q16">
        <f t="shared" si="0"/>
        <v>1</v>
      </c>
      <c r="R16" s="3">
        <f t="shared" si="1"/>
        <v>3</v>
      </c>
      <c r="S16">
        <f t="shared" si="2"/>
        <v>0</v>
      </c>
      <c r="T16">
        <f t="shared" si="3"/>
        <v>0</v>
      </c>
    </row>
    <row r="17" spans="1:20" x14ac:dyDescent="0.25">
      <c r="A17" t="s">
        <v>74</v>
      </c>
      <c r="B17">
        <v>16</v>
      </c>
      <c r="C17" t="s">
        <v>59</v>
      </c>
      <c r="D17" t="s">
        <v>22</v>
      </c>
      <c r="E17" t="s">
        <v>60</v>
      </c>
      <c r="F17" s="2">
        <v>46003</v>
      </c>
      <c r="G17" s="2">
        <v>46004</v>
      </c>
      <c r="H17" t="s">
        <v>45</v>
      </c>
      <c r="I17" t="s">
        <v>62</v>
      </c>
      <c r="J17" s="2">
        <v>46008</v>
      </c>
      <c r="K17" s="2">
        <v>46010</v>
      </c>
      <c r="L17" t="s">
        <v>26</v>
      </c>
      <c r="M17" t="s">
        <v>32</v>
      </c>
      <c r="N17" t="s">
        <v>75</v>
      </c>
      <c r="O17" t="s">
        <v>34</v>
      </c>
      <c r="P17" t="s">
        <v>76</v>
      </c>
      <c r="Q17">
        <f t="shared" si="0"/>
        <v>0</v>
      </c>
      <c r="R17" s="3">
        <f t="shared" si="1"/>
        <v>5</v>
      </c>
      <c r="S17">
        <f t="shared" si="2"/>
        <v>1</v>
      </c>
      <c r="T17">
        <f t="shared" si="3"/>
        <v>0</v>
      </c>
    </row>
    <row r="18" spans="1:20" x14ac:dyDescent="0.25">
      <c r="A18" t="s">
        <v>77</v>
      </c>
      <c r="B18">
        <v>17</v>
      </c>
      <c r="C18" t="s">
        <v>78</v>
      </c>
      <c r="D18" t="s">
        <v>52</v>
      </c>
      <c r="E18" t="s">
        <v>60</v>
      </c>
      <c r="F18" s="2">
        <v>45763</v>
      </c>
      <c r="G18" s="2">
        <v>45765</v>
      </c>
      <c r="H18" t="s">
        <v>41</v>
      </c>
      <c r="I18" t="s">
        <v>62</v>
      </c>
      <c r="J18" s="2">
        <v>45766</v>
      </c>
      <c r="K18" s="2">
        <v>45766</v>
      </c>
      <c r="L18" t="s">
        <v>46</v>
      </c>
      <c r="M18" t="s">
        <v>57</v>
      </c>
      <c r="O18" t="s">
        <v>34</v>
      </c>
      <c r="Q18">
        <f t="shared" si="0"/>
        <v>1</v>
      </c>
      <c r="R18" s="3">
        <f t="shared" si="1"/>
        <v>3</v>
      </c>
      <c r="S18">
        <f t="shared" si="2"/>
        <v>0</v>
      </c>
      <c r="T18">
        <f t="shared" si="3"/>
        <v>1</v>
      </c>
    </row>
    <row r="19" spans="1:20" x14ac:dyDescent="0.25">
      <c r="A19" t="s">
        <v>79</v>
      </c>
      <c r="B19">
        <v>18</v>
      </c>
      <c r="C19" t="s">
        <v>21</v>
      </c>
      <c r="D19" t="s">
        <v>39</v>
      </c>
      <c r="E19" t="s">
        <v>60</v>
      </c>
      <c r="F19" s="2">
        <v>45853</v>
      </c>
      <c r="G19" s="2">
        <v>45854</v>
      </c>
      <c r="H19" t="s">
        <v>45</v>
      </c>
      <c r="I19" t="s">
        <v>62</v>
      </c>
      <c r="J19" s="2">
        <v>45857</v>
      </c>
      <c r="K19" s="2">
        <v>45857</v>
      </c>
      <c r="L19" t="s">
        <v>26</v>
      </c>
      <c r="M19" t="s">
        <v>27</v>
      </c>
      <c r="O19" t="s">
        <v>69</v>
      </c>
      <c r="Q19">
        <f t="shared" si="0"/>
        <v>1</v>
      </c>
      <c r="R19" s="3">
        <f t="shared" si="1"/>
        <v>4</v>
      </c>
      <c r="S19">
        <f t="shared" si="2"/>
        <v>0</v>
      </c>
      <c r="T19">
        <f t="shared" si="3"/>
        <v>0</v>
      </c>
    </row>
    <row r="20" spans="1:20" x14ac:dyDescent="0.25">
      <c r="A20" t="s">
        <v>80</v>
      </c>
      <c r="B20">
        <v>19</v>
      </c>
      <c r="C20" t="s">
        <v>51</v>
      </c>
      <c r="D20" t="s">
        <v>39</v>
      </c>
      <c r="E20" t="s">
        <v>23</v>
      </c>
      <c r="F20" s="2">
        <v>46003</v>
      </c>
      <c r="G20" s="2">
        <v>46003</v>
      </c>
      <c r="H20" t="s">
        <v>31</v>
      </c>
      <c r="I20" t="s">
        <v>73</v>
      </c>
      <c r="J20" s="2">
        <v>46005</v>
      </c>
      <c r="K20" s="2">
        <v>46005</v>
      </c>
      <c r="L20" t="s">
        <v>26</v>
      </c>
      <c r="M20" t="s">
        <v>27</v>
      </c>
      <c r="O20" t="s">
        <v>81</v>
      </c>
      <c r="Q20">
        <f t="shared" si="0"/>
        <v>1</v>
      </c>
      <c r="R20" s="3">
        <f t="shared" si="1"/>
        <v>2</v>
      </c>
      <c r="S20">
        <f t="shared" si="2"/>
        <v>0</v>
      </c>
      <c r="T20">
        <f t="shared" si="3"/>
        <v>0</v>
      </c>
    </row>
    <row r="21" spans="1:20" x14ac:dyDescent="0.25">
      <c r="A21" t="s">
        <v>82</v>
      </c>
      <c r="B21">
        <v>20</v>
      </c>
      <c r="C21" t="s">
        <v>51</v>
      </c>
      <c r="D21" t="s">
        <v>22</v>
      </c>
      <c r="E21" t="s">
        <v>56</v>
      </c>
      <c r="F21" s="2">
        <v>45667</v>
      </c>
      <c r="G21" s="2">
        <v>45669</v>
      </c>
      <c r="H21" t="s">
        <v>61</v>
      </c>
      <c r="I21" t="s">
        <v>83</v>
      </c>
      <c r="J21" s="2">
        <v>45672</v>
      </c>
      <c r="K21" s="2">
        <v>45672</v>
      </c>
      <c r="L21" t="s">
        <v>26</v>
      </c>
      <c r="M21" t="s">
        <v>57</v>
      </c>
      <c r="O21" t="s">
        <v>37</v>
      </c>
      <c r="Q21">
        <f t="shared" si="0"/>
        <v>1</v>
      </c>
      <c r="R21" s="3">
        <f t="shared" si="1"/>
        <v>5</v>
      </c>
      <c r="S21">
        <f t="shared" si="2"/>
        <v>0</v>
      </c>
      <c r="T21">
        <f t="shared" si="3"/>
        <v>0</v>
      </c>
    </row>
    <row r="22" spans="1:20" x14ac:dyDescent="0.25">
      <c r="A22" t="s">
        <v>84</v>
      </c>
      <c r="B22">
        <v>21</v>
      </c>
      <c r="C22" t="s">
        <v>59</v>
      </c>
      <c r="D22" t="s">
        <v>30</v>
      </c>
      <c r="E22" t="s">
        <v>23</v>
      </c>
      <c r="F22" s="2">
        <v>45927</v>
      </c>
      <c r="G22" s="2">
        <v>45929</v>
      </c>
      <c r="H22" t="s">
        <v>41</v>
      </c>
      <c r="I22" t="s">
        <v>85</v>
      </c>
      <c r="J22" s="2">
        <v>45931</v>
      </c>
      <c r="K22" s="2">
        <v>45931</v>
      </c>
      <c r="L22" t="s">
        <v>26</v>
      </c>
      <c r="M22" t="s">
        <v>27</v>
      </c>
      <c r="O22" t="s">
        <v>81</v>
      </c>
      <c r="Q22">
        <f t="shared" si="0"/>
        <v>1</v>
      </c>
      <c r="R22" s="3">
        <f t="shared" si="1"/>
        <v>4</v>
      </c>
      <c r="S22">
        <f t="shared" si="2"/>
        <v>0</v>
      </c>
      <c r="T22">
        <f t="shared" si="3"/>
        <v>0</v>
      </c>
    </row>
    <row r="23" spans="1:20" x14ac:dyDescent="0.25">
      <c r="A23" t="s">
        <v>86</v>
      </c>
      <c r="B23">
        <v>22</v>
      </c>
      <c r="C23" t="s">
        <v>59</v>
      </c>
      <c r="D23" t="s">
        <v>52</v>
      </c>
      <c r="E23" t="s">
        <v>23</v>
      </c>
      <c r="F23" s="2">
        <v>46009</v>
      </c>
      <c r="G23" s="2">
        <v>46009</v>
      </c>
      <c r="H23" t="s">
        <v>61</v>
      </c>
      <c r="I23" t="s">
        <v>62</v>
      </c>
      <c r="J23" s="2">
        <v>46013</v>
      </c>
      <c r="K23" s="2">
        <v>46014</v>
      </c>
      <c r="L23" t="s">
        <v>26</v>
      </c>
      <c r="M23" t="s">
        <v>32</v>
      </c>
      <c r="N23" t="s">
        <v>75</v>
      </c>
      <c r="O23" t="s">
        <v>43</v>
      </c>
      <c r="P23" t="s">
        <v>76</v>
      </c>
      <c r="Q23">
        <f t="shared" si="0"/>
        <v>0</v>
      </c>
      <c r="R23" s="3">
        <f t="shared" si="1"/>
        <v>4</v>
      </c>
      <c r="S23">
        <f t="shared" si="2"/>
        <v>1</v>
      </c>
      <c r="T23">
        <f t="shared" si="3"/>
        <v>0</v>
      </c>
    </row>
    <row r="24" spans="1:20" x14ac:dyDescent="0.25">
      <c r="A24" t="s">
        <v>87</v>
      </c>
      <c r="B24">
        <v>23</v>
      </c>
      <c r="C24" t="s">
        <v>78</v>
      </c>
      <c r="D24" t="s">
        <v>64</v>
      </c>
      <c r="E24" t="s">
        <v>40</v>
      </c>
      <c r="F24" s="2">
        <v>45762</v>
      </c>
      <c r="G24" s="2">
        <v>45763</v>
      </c>
      <c r="H24" t="s">
        <v>31</v>
      </c>
      <c r="I24" t="s">
        <v>85</v>
      </c>
      <c r="J24" s="2">
        <v>45767</v>
      </c>
      <c r="K24" s="2">
        <v>45767</v>
      </c>
      <c r="L24" t="s">
        <v>46</v>
      </c>
      <c r="M24" t="s">
        <v>27</v>
      </c>
      <c r="O24" t="s">
        <v>34</v>
      </c>
      <c r="P24" t="s">
        <v>88</v>
      </c>
      <c r="Q24">
        <f t="shared" si="0"/>
        <v>1</v>
      </c>
      <c r="R24" s="3">
        <f t="shared" si="1"/>
        <v>5</v>
      </c>
      <c r="S24">
        <f t="shared" si="2"/>
        <v>0</v>
      </c>
      <c r="T24">
        <f t="shared" si="3"/>
        <v>1</v>
      </c>
    </row>
    <row r="25" spans="1:20" x14ac:dyDescent="0.25">
      <c r="A25" t="s">
        <v>89</v>
      </c>
      <c r="B25">
        <v>24</v>
      </c>
      <c r="C25" t="s">
        <v>51</v>
      </c>
      <c r="D25" t="s">
        <v>39</v>
      </c>
      <c r="E25" t="s">
        <v>56</v>
      </c>
      <c r="F25" s="2">
        <v>45887</v>
      </c>
      <c r="G25" s="2">
        <v>45887</v>
      </c>
      <c r="H25" t="s">
        <v>41</v>
      </c>
      <c r="I25" t="s">
        <v>42</v>
      </c>
      <c r="J25" s="2">
        <v>45892</v>
      </c>
      <c r="K25" s="2">
        <v>45893</v>
      </c>
      <c r="L25" t="s">
        <v>26</v>
      </c>
      <c r="M25" t="s">
        <v>57</v>
      </c>
      <c r="O25" t="s">
        <v>28</v>
      </c>
      <c r="P25" t="s">
        <v>71</v>
      </c>
      <c r="Q25">
        <f t="shared" si="0"/>
        <v>0</v>
      </c>
      <c r="R25" s="3">
        <f t="shared" si="1"/>
        <v>5</v>
      </c>
      <c r="S25">
        <f t="shared" si="2"/>
        <v>0</v>
      </c>
      <c r="T25">
        <f t="shared" si="3"/>
        <v>0</v>
      </c>
    </row>
    <row r="26" spans="1:20" x14ac:dyDescent="0.25">
      <c r="A26" t="s">
        <v>90</v>
      </c>
      <c r="B26">
        <v>25</v>
      </c>
      <c r="C26" t="s">
        <v>21</v>
      </c>
      <c r="D26" t="s">
        <v>52</v>
      </c>
      <c r="E26" t="s">
        <v>56</v>
      </c>
      <c r="F26" s="2">
        <v>46014</v>
      </c>
      <c r="G26" s="2">
        <v>46016</v>
      </c>
      <c r="H26" t="s">
        <v>61</v>
      </c>
      <c r="I26" t="s">
        <v>73</v>
      </c>
      <c r="J26" s="2">
        <v>46020</v>
      </c>
      <c r="K26" s="2">
        <v>46020</v>
      </c>
      <c r="L26" t="s">
        <v>26</v>
      </c>
      <c r="M26" t="s">
        <v>57</v>
      </c>
      <c r="O26" t="s">
        <v>28</v>
      </c>
      <c r="Q26">
        <f t="shared" si="0"/>
        <v>1</v>
      </c>
      <c r="R26" s="3">
        <f t="shared" si="1"/>
        <v>6</v>
      </c>
      <c r="S26">
        <f t="shared" si="2"/>
        <v>0</v>
      </c>
      <c r="T26">
        <f t="shared" si="3"/>
        <v>0</v>
      </c>
    </row>
    <row r="27" spans="1:20" x14ac:dyDescent="0.25">
      <c r="A27" t="s">
        <v>91</v>
      </c>
      <c r="B27">
        <v>26</v>
      </c>
      <c r="C27" t="s">
        <v>21</v>
      </c>
      <c r="D27" t="s">
        <v>64</v>
      </c>
      <c r="E27" t="s">
        <v>60</v>
      </c>
      <c r="F27" s="2">
        <v>45739</v>
      </c>
      <c r="G27" s="2">
        <v>45740</v>
      </c>
      <c r="H27" t="s">
        <v>24</v>
      </c>
      <c r="I27" t="s">
        <v>42</v>
      </c>
      <c r="J27" s="2">
        <v>45744</v>
      </c>
      <c r="K27" s="2">
        <v>45744</v>
      </c>
      <c r="L27" t="s">
        <v>26</v>
      </c>
      <c r="M27" t="s">
        <v>27</v>
      </c>
      <c r="O27" t="s">
        <v>28</v>
      </c>
      <c r="Q27">
        <f t="shared" si="0"/>
        <v>1</v>
      </c>
      <c r="R27" s="3">
        <f t="shared" si="1"/>
        <v>5</v>
      </c>
      <c r="S27">
        <f t="shared" si="2"/>
        <v>0</v>
      </c>
      <c r="T27">
        <f t="shared" si="3"/>
        <v>0</v>
      </c>
    </row>
    <row r="28" spans="1:20" x14ac:dyDescent="0.25">
      <c r="A28" t="s">
        <v>92</v>
      </c>
      <c r="B28">
        <v>27</v>
      </c>
      <c r="C28" t="s">
        <v>59</v>
      </c>
      <c r="D28" t="s">
        <v>52</v>
      </c>
      <c r="E28" t="s">
        <v>23</v>
      </c>
      <c r="F28" s="2">
        <v>45882</v>
      </c>
      <c r="G28" s="2">
        <v>45883</v>
      </c>
      <c r="H28" t="s">
        <v>61</v>
      </c>
      <c r="I28" t="s">
        <v>83</v>
      </c>
      <c r="J28" s="2">
        <v>45886</v>
      </c>
      <c r="K28" s="2">
        <v>45886</v>
      </c>
      <c r="L28" t="s">
        <v>26</v>
      </c>
      <c r="M28" t="s">
        <v>27</v>
      </c>
      <c r="O28" t="s">
        <v>28</v>
      </c>
      <c r="P28" t="s">
        <v>93</v>
      </c>
      <c r="Q28">
        <f t="shared" si="0"/>
        <v>1</v>
      </c>
      <c r="R28" s="3">
        <f t="shared" si="1"/>
        <v>4</v>
      </c>
      <c r="S28">
        <f t="shared" si="2"/>
        <v>0</v>
      </c>
      <c r="T28">
        <f t="shared" si="3"/>
        <v>0</v>
      </c>
    </row>
    <row r="29" spans="1:20" x14ac:dyDescent="0.25">
      <c r="A29" t="s">
        <v>94</v>
      </c>
      <c r="B29">
        <v>28</v>
      </c>
      <c r="C29" t="s">
        <v>59</v>
      </c>
      <c r="D29" t="s">
        <v>30</v>
      </c>
      <c r="E29" t="s">
        <v>40</v>
      </c>
      <c r="F29" s="2">
        <v>45958</v>
      </c>
      <c r="G29" s="2">
        <v>45960</v>
      </c>
      <c r="H29" t="s">
        <v>31</v>
      </c>
      <c r="I29" t="s">
        <v>25</v>
      </c>
      <c r="J29" s="2">
        <v>45965</v>
      </c>
      <c r="K29" s="2">
        <v>45965</v>
      </c>
      <c r="L29" t="s">
        <v>26</v>
      </c>
      <c r="M29" t="s">
        <v>27</v>
      </c>
      <c r="O29" t="s">
        <v>34</v>
      </c>
      <c r="Q29">
        <f t="shared" si="0"/>
        <v>1</v>
      </c>
      <c r="R29" s="3">
        <f t="shared" si="1"/>
        <v>7</v>
      </c>
      <c r="S29">
        <f t="shared" si="2"/>
        <v>0</v>
      </c>
      <c r="T29">
        <f t="shared" si="3"/>
        <v>0</v>
      </c>
    </row>
    <row r="30" spans="1:20" x14ac:dyDescent="0.25">
      <c r="A30" t="s">
        <v>95</v>
      </c>
      <c r="B30">
        <v>29</v>
      </c>
      <c r="C30" t="s">
        <v>59</v>
      </c>
      <c r="D30" t="s">
        <v>30</v>
      </c>
      <c r="E30" t="s">
        <v>40</v>
      </c>
      <c r="F30" s="2">
        <v>45903</v>
      </c>
      <c r="G30" s="2">
        <v>45904</v>
      </c>
      <c r="H30" t="s">
        <v>61</v>
      </c>
      <c r="I30" t="s">
        <v>83</v>
      </c>
      <c r="J30" s="2">
        <v>45905</v>
      </c>
      <c r="K30" s="2">
        <v>45906</v>
      </c>
      <c r="L30" t="s">
        <v>46</v>
      </c>
      <c r="M30" t="s">
        <v>57</v>
      </c>
      <c r="O30" t="s">
        <v>43</v>
      </c>
      <c r="Q30">
        <f t="shared" si="0"/>
        <v>0</v>
      </c>
      <c r="R30" s="3">
        <f t="shared" si="1"/>
        <v>2</v>
      </c>
      <c r="S30">
        <f t="shared" si="2"/>
        <v>0</v>
      </c>
      <c r="T30">
        <f t="shared" si="3"/>
        <v>1</v>
      </c>
    </row>
    <row r="31" spans="1:20" x14ac:dyDescent="0.25">
      <c r="A31" t="s">
        <v>96</v>
      </c>
      <c r="B31">
        <v>30</v>
      </c>
      <c r="C31" t="s">
        <v>36</v>
      </c>
      <c r="D31" t="s">
        <v>22</v>
      </c>
      <c r="E31" t="s">
        <v>53</v>
      </c>
      <c r="F31" s="2">
        <v>45847</v>
      </c>
      <c r="G31" s="2">
        <v>45849</v>
      </c>
      <c r="H31" t="s">
        <v>45</v>
      </c>
      <c r="I31" t="s">
        <v>62</v>
      </c>
      <c r="J31" s="2">
        <v>45851</v>
      </c>
      <c r="K31" s="2">
        <v>45851</v>
      </c>
      <c r="L31" t="s">
        <v>26</v>
      </c>
      <c r="M31" t="s">
        <v>57</v>
      </c>
      <c r="O31" t="s">
        <v>81</v>
      </c>
      <c r="Q31">
        <f t="shared" si="0"/>
        <v>1</v>
      </c>
      <c r="R31" s="3">
        <f t="shared" si="1"/>
        <v>4</v>
      </c>
      <c r="S31">
        <f t="shared" si="2"/>
        <v>0</v>
      </c>
      <c r="T31">
        <f t="shared" si="3"/>
        <v>0</v>
      </c>
    </row>
    <row r="32" spans="1:20" x14ac:dyDescent="0.25">
      <c r="A32" t="s">
        <v>97</v>
      </c>
      <c r="B32">
        <v>31</v>
      </c>
      <c r="C32" t="s">
        <v>78</v>
      </c>
      <c r="D32" t="s">
        <v>39</v>
      </c>
      <c r="E32" t="s">
        <v>23</v>
      </c>
      <c r="F32" s="2">
        <v>45769</v>
      </c>
      <c r="G32" s="2">
        <v>45769</v>
      </c>
      <c r="H32" t="s">
        <v>45</v>
      </c>
      <c r="I32" t="s">
        <v>73</v>
      </c>
      <c r="J32" s="2">
        <v>45770</v>
      </c>
      <c r="K32" s="2">
        <v>45770</v>
      </c>
      <c r="L32" t="s">
        <v>26</v>
      </c>
      <c r="M32" t="s">
        <v>27</v>
      </c>
      <c r="O32" t="s">
        <v>69</v>
      </c>
      <c r="Q32">
        <f t="shared" si="0"/>
        <v>1</v>
      </c>
      <c r="R32" s="3">
        <f t="shared" si="1"/>
        <v>1</v>
      </c>
      <c r="S32">
        <f t="shared" si="2"/>
        <v>0</v>
      </c>
      <c r="T32">
        <f t="shared" si="3"/>
        <v>0</v>
      </c>
    </row>
    <row r="33" spans="1:20" x14ac:dyDescent="0.25">
      <c r="A33" t="s">
        <v>98</v>
      </c>
      <c r="B33">
        <v>32</v>
      </c>
      <c r="C33" t="s">
        <v>59</v>
      </c>
      <c r="D33" t="s">
        <v>64</v>
      </c>
      <c r="E33" t="s">
        <v>40</v>
      </c>
      <c r="F33" s="2">
        <v>45860</v>
      </c>
      <c r="G33" s="2">
        <v>45862</v>
      </c>
      <c r="H33" t="s">
        <v>24</v>
      </c>
      <c r="I33" t="s">
        <v>73</v>
      </c>
      <c r="J33" s="2">
        <v>45866</v>
      </c>
      <c r="K33" s="2">
        <v>45866</v>
      </c>
      <c r="L33" t="s">
        <v>46</v>
      </c>
      <c r="M33" t="s">
        <v>57</v>
      </c>
      <c r="O33" t="s">
        <v>81</v>
      </c>
      <c r="Q33">
        <f t="shared" si="0"/>
        <v>1</v>
      </c>
      <c r="R33" s="3">
        <f t="shared" si="1"/>
        <v>6</v>
      </c>
      <c r="S33">
        <f t="shared" si="2"/>
        <v>0</v>
      </c>
      <c r="T33">
        <f t="shared" si="3"/>
        <v>1</v>
      </c>
    </row>
    <row r="34" spans="1:20" x14ac:dyDescent="0.25">
      <c r="A34" t="s">
        <v>99</v>
      </c>
      <c r="B34">
        <v>33</v>
      </c>
      <c r="C34" t="s">
        <v>51</v>
      </c>
      <c r="D34" t="s">
        <v>52</v>
      </c>
      <c r="E34" t="s">
        <v>23</v>
      </c>
      <c r="F34" s="2">
        <v>45813</v>
      </c>
      <c r="G34" s="2">
        <v>45814</v>
      </c>
      <c r="H34" t="s">
        <v>24</v>
      </c>
      <c r="I34" t="s">
        <v>54</v>
      </c>
      <c r="J34" s="2">
        <v>45815</v>
      </c>
      <c r="K34" s="2">
        <v>45819</v>
      </c>
      <c r="L34" t="s">
        <v>26</v>
      </c>
      <c r="M34" t="s">
        <v>32</v>
      </c>
      <c r="N34" t="s">
        <v>49</v>
      </c>
      <c r="O34" t="s">
        <v>81</v>
      </c>
      <c r="Q34">
        <f t="shared" si="0"/>
        <v>0</v>
      </c>
      <c r="R34" s="3">
        <f t="shared" si="1"/>
        <v>2</v>
      </c>
      <c r="S34">
        <f t="shared" si="2"/>
        <v>1</v>
      </c>
      <c r="T34">
        <f t="shared" si="3"/>
        <v>0</v>
      </c>
    </row>
    <row r="35" spans="1:20" x14ac:dyDescent="0.25">
      <c r="A35" t="s">
        <v>100</v>
      </c>
      <c r="B35">
        <v>34</v>
      </c>
      <c r="C35" t="s">
        <v>36</v>
      </c>
      <c r="D35" t="s">
        <v>64</v>
      </c>
      <c r="E35" t="s">
        <v>53</v>
      </c>
      <c r="F35" s="2">
        <v>45840</v>
      </c>
      <c r="G35" s="2">
        <v>45841</v>
      </c>
      <c r="H35" t="s">
        <v>24</v>
      </c>
      <c r="I35" t="s">
        <v>42</v>
      </c>
      <c r="J35" s="2">
        <v>45844</v>
      </c>
      <c r="K35" s="2">
        <v>45844</v>
      </c>
      <c r="L35" t="s">
        <v>26</v>
      </c>
      <c r="M35" t="s">
        <v>27</v>
      </c>
      <c r="O35" t="s">
        <v>69</v>
      </c>
      <c r="Q35">
        <f t="shared" si="0"/>
        <v>1</v>
      </c>
      <c r="R35" s="3">
        <f t="shared" si="1"/>
        <v>4</v>
      </c>
      <c r="S35">
        <f t="shared" si="2"/>
        <v>0</v>
      </c>
      <c r="T35">
        <f t="shared" si="3"/>
        <v>0</v>
      </c>
    </row>
    <row r="36" spans="1:20" x14ac:dyDescent="0.25">
      <c r="A36" t="s">
        <v>101</v>
      </c>
      <c r="B36">
        <v>35</v>
      </c>
      <c r="C36" t="s">
        <v>51</v>
      </c>
      <c r="D36" t="s">
        <v>39</v>
      </c>
      <c r="E36" t="s">
        <v>60</v>
      </c>
      <c r="F36" s="2">
        <v>45809</v>
      </c>
      <c r="G36" s="2">
        <v>45810</v>
      </c>
      <c r="H36" t="s">
        <v>61</v>
      </c>
      <c r="I36" t="s">
        <v>25</v>
      </c>
      <c r="J36" s="2">
        <v>45814</v>
      </c>
      <c r="K36" s="2">
        <v>45815</v>
      </c>
      <c r="L36" t="s">
        <v>26</v>
      </c>
      <c r="M36" t="s">
        <v>32</v>
      </c>
      <c r="N36" t="s">
        <v>47</v>
      </c>
      <c r="O36" t="s">
        <v>28</v>
      </c>
      <c r="Q36">
        <f t="shared" si="0"/>
        <v>0</v>
      </c>
      <c r="R36" s="3">
        <f t="shared" si="1"/>
        <v>5</v>
      </c>
      <c r="S36">
        <f t="shared" si="2"/>
        <v>1</v>
      </c>
      <c r="T36">
        <f t="shared" si="3"/>
        <v>0</v>
      </c>
    </row>
    <row r="37" spans="1:20" x14ac:dyDescent="0.25">
      <c r="A37" t="s">
        <v>102</v>
      </c>
      <c r="B37">
        <v>36</v>
      </c>
      <c r="C37" t="s">
        <v>78</v>
      </c>
      <c r="D37" t="s">
        <v>52</v>
      </c>
      <c r="E37" t="s">
        <v>40</v>
      </c>
      <c r="F37" s="2">
        <v>45962</v>
      </c>
      <c r="G37" s="2">
        <v>45963</v>
      </c>
      <c r="H37" t="s">
        <v>61</v>
      </c>
      <c r="I37" t="s">
        <v>73</v>
      </c>
      <c r="J37" s="2">
        <v>45965</v>
      </c>
      <c r="K37" s="2">
        <v>45965</v>
      </c>
      <c r="L37" t="s">
        <v>26</v>
      </c>
      <c r="M37" t="s">
        <v>57</v>
      </c>
      <c r="O37" t="s">
        <v>37</v>
      </c>
      <c r="Q37">
        <f t="shared" si="0"/>
        <v>1</v>
      </c>
      <c r="R37" s="3">
        <f t="shared" si="1"/>
        <v>3</v>
      </c>
      <c r="S37">
        <f t="shared" si="2"/>
        <v>0</v>
      </c>
      <c r="T37">
        <f t="shared" si="3"/>
        <v>0</v>
      </c>
    </row>
    <row r="38" spans="1:20" x14ac:dyDescent="0.25">
      <c r="A38" t="s">
        <v>103</v>
      </c>
      <c r="B38">
        <v>37</v>
      </c>
      <c r="C38" t="s">
        <v>21</v>
      </c>
      <c r="D38" t="s">
        <v>22</v>
      </c>
      <c r="E38" t="s">
        <v>56</v>
      </c>
      <c r="F38" s="2">
        <v>45971</v>
      </c>
      <c r="G38" s="2">
        <v>45973</v>
      </c>
      <c r="H38" t="s">
        <v>31</v>
      </c>
      <c r="I38" t="s">
        <v>62</v>
      </c>
      <c r="J38" s="2">
        <v>45975</v>
      </c>
      <c r="K38" s="2">
        <v>45975</v>
      </c>
      <c r="L38" t="s">
        <v>26</v>
      </c>
      <c r="M38" t="s">
        <v>27</v>
      </c>
      <c r="O38" t="s">
        <v>69</v>
      </c>
      <c r="P38" t="s">
        <v>71</v>
      </c>
      <c r="Q38">
        <f t="shared" si="0"/>
        <v>1</v>
      </c>
      <c r="R38" s="3">
        <f t="shared" si="1"/>
        <v>4</v>
      </c>
      <c r="S38">
        <f t="shared" si="2"/>
        <v>0</v>
      </c>
      <c r="T38">
        <f t="shared" si="3"/>
        <v>0</v>
      </c>
    </row>
    <row r="39" spans="1:20" x14ac:dyDescent="0.25">
      <c r="A39" t="s">
        <v>104</v>
      </c>
      <c r="B39">
        <v>38</v>
      </c>
      <c r="C39" t="s">
        <v>78</v>
      </c>
      <c r="D39" t="s">
        <v>52</v>
      </c>
      <c r="E39" t="s">
        <v>56</v>
      </c>
      <c r="F39" s="2">
        <v>45780</v>
      </c>
      <c r="G39" s="2">
        <v>45780</v>
      </c>
      <c r="H39" t="s">
        <v>31</v>
      </c>
      <c r="I39" t="s">
        <v>83</v>
      </c>
      <c r="J39" s="2">
        <v>45783</v>
      </c>
      <c r="K39" s="2">
        <v>45785</v>
      </c>
      <c r="L39" t="s">
        <v>26</v>
      </c>
      <c r="M39" t="s">
        <v>32</v>
      </c>
      <c r="N39" t="s">
        <v>67</v>
      </c>
      <c r="O39" t="s">
        <v>37</v>
      </c>
      <c r="Q39">
        <f t="shared" si="0"/>
        <v>0</v>
      </c>
      <c r="R39" s="3">
        <f t="shared" si="1"/>
        <v>3</v>
      </c>
      <c r="S39">
        <f t="shared" si="2"/>
        <v>1</v>
      </c>
      <c r="T39">
        <f t="shared" si="3"/>
        <v>0</v>
      </c>
    </row>
    <row r="40" spans="1:20" x14ac:dyDescent="0.25">
      <c r="A40" t="s">
        <v>105</v>
      </c>
      <c r="B40">
        <v>39</v>
      </c>
      <c r="C40" t="s">
        <v>36</v>
      </c>
      <c r="D40" t="s">
        <v>22</v>
      </c>
      <c r="E40" t="s">
        <v>56</v>
      </c>
      <c r="F40" s="2">
        <v>45872</v>
      </c>
      <c r="G40" s="2">
        <v>45874</v>
      </c>
      <c r="H40" t="s">
        <v>24</v>
      </c>
      <c r="I40" t="s">
        <v>85</v>
      </c>
      <c r="J40" s="2">
        <v>45875</v>
      </c>
      <c r="K40" s="2">
        <v>45875</v>
      </c>
      <c r="L40" t="s">
        <v>26</v>
      </c>
      <c r="M40" t="s">
        <v>27</v>
      </c>
      <c r="O40" t="s">
        <v>28</v>
      </c>
      <c r="Q40">
        <f t="shared" si="0"/>
        <v>1</v>
      </c>
      <c r="R40" s="3">
        <f t="shared" si="1"/>
        <v>3</v>
      </c>
      <c r="S40">
        <f t="shared" si="2"/>
        <v>0</v>
      </c>
      <c r="T40">
        <f t="shared" si="3"/>
        <v>0</v>
      </c>
    </row>
    <row r="41" spans="1:20" x14ac:dyDescent="0.25">
      <c r="A41" t="s">
        <v>106</v>
      </c>
      <c r="B41">
        <v>40</v>
      </c>
      <c r="C41" t="s">
        <v>59</v>
      </c>
      <c r="D41" t="s">
        <v>22</v>
      </c>
      <c r="E41" t="s">
        <v>23</v>
      </c>
      <c r="F41" s="2">
        <v>45792</v>
      </c>
      <c r="G41" s="2">
        <v>45793</v>
      </c>
      <c r="H41" t="s">
        <v>31</v>
      </c>
      <c r="I41" t="s">
        <v>73</v>
      </c>
      <c r="J41" s="2">
        <v>45798</v>
      </c>
      <c r="K41" s="2">
        <v>45798</v>
      </c>
      <c r="L41" t="s">
        <v>26</v>
      </c>
      <c r="M41" t="s">
        <v>27</v>
      </c>
      <c r="O41" t="s">
        <v>37</v>
      </c>
      <c r="Q41">
        <f t="shared" si="0"/>
        <v>1</v>
      </c>
      <c r="R41" s="3">
        <f t="shared" si="1"/>
        <v>6</v>
      </c>
      <c r="S41">
        <f t="shared" si="2"/>
        <v>0</v>
      </c>
      <c r="T41">
        <f t="shared" si="3"/>
        <v>0</v>
      </c>
    </row>
    <row r="42" spans="1:20" x14ac:dyDescent="0.25">
      <c r="A42" t="s">
        <v>107</v>
      </c>
      <c r="B42">
        <v>41</v>
      </c>
      <c r="C42" t="s">
        <v>78</v>
      </c>
      <c r="D42" t="s">
        <v>64</v>
      </c>
      <c r="E42" t="s">
        <v>53</v>
      </c>
      <c r="F42" s="2">
        <v>45858</v>
      </c>
      <c r="G42" s="2">
        <v>45860</v>
      </c>
      <c r="H42" t="s">
        <v>45</v>
      </c>
      <c r="I42" t="s">
        <v>73</v>
      </c>
      <c r="J42" s="2">
        <v>45864</v>
      </c>
      <c r="K42" s="2">
        <v>45864</v>
      </c>
      <c r="L42" t="s">
        <v>26</v>
      </c>
      <c r="M42" t="s">
        <v>57</v>
      </c>
      <c r="O42" t="s">
        <v>81</v>
      </c>
      <c r="Q42">
        <f t="shared" si="0"/>
        <v>1</v>
      </c>
      <c r="R42" s="3">
        <f t="shared" si="1"/>
        <v>6</v>
      </c>
      <c r="S42">
        <f t="shared" si="2"/>
        <v>0</v>
      </c>
      <c r="T42">
        <f t="shared" si="3"/>
        <v>0</v>
      </c>
    </row>
    <row r="43" spans="1:20" x14ac:dyDescent="0.25">
      <c r="A43" t="s">
        <v>108</v>
      </c>
      <c r="B43">
        <v>42</v>
      </c>
      <c r="C43" t="s">
        <v>78</v>
      </c>
      <c r="D43" t="s">
        <v>64</v>
      </c>
      <c r="E43" t="s">
        <v>56</v>
      </c>
      <c r="F43" s="2">
        <v>45833</v>
      </c>
      <c r="G43" s="2">
        <v>45833</v>
      </c>
      <c r="H43" t="s">
        <v>45</v>
      </c>
      <c r="I43" t="s">
        <v>42</v>
      </c>
      <c r="J43" s="2">
        <v>45834</v>
      </c>
      <c r="K43" s="2">
        <v>45838</v>
      </c>
      <c r="L43" t="s">
        <v>26</v>
      </c>
      <c r="M43" t="s">
        <v>32</v>
      </c>
      <c r="N43" t="s">
        <v>49</v>
      </c>
      <c r="O43" t="s">
        <v>34</v>
      </c>
      <c r="P43" t="s">
        <v>71</v>
      </c>
      <c r="Q43">
        <f t="shared" si="0"/>
        <v>0</v>
      </c>
      <c r="R43" s="3">
        <f t="shared" si="1"/>
        <v>1</v>
      </c>
      <c r="S43">
        <f t="shared" si="2"/>
        <v>1</v>
      </c>
      <c r="T43">
        <f t="shared" si="3"/>
        <v>0</v>
      </c>
    </row>
    <row r="44" spans="1:20" x14ac:dyDescent="0.25">
      <c r="A44" t="s">
        <v>109</v>
      </c>
      <c r="B44">
        <v>43</v>
      </c>
      <c r="C44" t="s">
        <v>51</v>
      </c>
      <c r="D44" t="s">
        <v>30</v>
      </c>
      <c r="E44" t="s">
        <v>40</v>
      </c>
      <c r="F44" s="2">
        <v>45903</v>
      </c>
      <c r="G44" s="2">
        <v>45905</v>
      </c>
      <c r="H44" t="s">
        <v>31</v>
      </c>
      <c r="I44" t="s">
        <v>42</v>
      </c>
      <c r="J44" s="2">
        <v>45908</v>
      </c>
      <c r="K44" s="2">
        <v>45908</v>
      </c>
      <c r="L44" t="s">
        <v>46</v>
      </c>
      <c r="M44" t="s">
        <v>27</v>
      </c>
      <c r="O44" t="s">
        <v>28</v>
      </c>
      <c r="Q44">
        <f t="shared" si="0"/>
        <v>1</v>
      </c>
      <c r="R44" s="3">
        <f t="shared" si="1"/>
        <v>5</v>
      </c>
      <c r="S44">
        <f t="shared" si="2"/>
        <v>0</v>
      </c>
      <c r="T44">
        <f t="shared" si="3"/>
        <v>1</v>
      </c>
    </row>
    <row r="45" spans="1:20" x14ac:dyDescent="0.25">
      <c r="A45" t="s">
        <v>110</v>
      </c>
      <c r="B45">
        <v>44</v>
      </c>
      <c r="C45" t="s">
        <v>21</v>
      </c>
      <c r="D45" t="s">
        <v>52</v>
      </c>
      <c r="E45" t="s">
        <v>60</v>
      </c>
      <c r="F45" s="2">
        <v>45814</v>
      </c>
      <c r="G45" s="2">
        <v>45814</v>
      </c>
      <c r="H45" t="s">
        <v>41</v>
      </c>
      <c r="I45" t="s">
        <v>42</v>
      </c>
      <c r="J45" s="2">
        <v>45817</v>
      </c>
      <c r="K45" s="2">
        <v>45818</v>
      </c>
      <c r="L45" t="s">
        <v>26</v>
      </c>
      <c r="M45" t="s">
        <v>57</v>
      </c>
      <c r="O45" t="s">
        <v>34</v>
      </c>
      <c r="P45" t="s">
        <v>76</v>
      </c>
      <c r="Q45">
        <f t="shared" si="0"/>
        <v>0</v>
      </c>
      <c r="R45" s="3">
        <f t="shared" si="1"/>
        <v>3</v>
      </c>
      <c r="S45">
        <f t="shared" si="2"/>
        <v>0</v>
      </c>
      <c r="T45">
        <f t="shared" si="3"/>
        <v>0</v>
      </c>
    </row>
    <row r="46" spans="1:20" x14ac:dyDescent="0.25">
      <c r="A46" t="s">
        <v>111</v>
      </c>
      <c r="B46">
        <v>45</v>
      </c>
      <c r="C46" t="s">
        <v>78</v>
      </c>
      <c r="D46" t="s">
        <v>64</v>
      </c>
      <c r="E46" t="s">
        <v>23</v>
      </c>
      <c r="F46" s="2">
        <v>45845</v>
      </c>
      <c r="G46" s="2">
        <v>45847</v>
      </c>
      <c r="H46" t="s">
        <v>41</v>
      </c>
      <c r="I46" t="s">
        <v>54</v>
      </c>
      <c r="J46" s="2">
        <v>45850</v>
      </c>
      <c r="K46" s="2">
        <v>45854</v>
      </c>
      <c r="L46" t="s">
        <v>46</v>
      </c>
      <c r="M46" t="s">
        <v>32</v>
      </c>
      <c r="N46" t="s">
        <v>49</v>
      </c>
      <c r="O46" t="s">
        <v>69</v>
      </c>
      <c r="Q46">
        <f t="shared" si="0"/>
        <v>0</v>
      </c>
      <c r="R46" s="3">
        <f t="shared" si="1"/>
        <v>5</v>
      </c>
      <c r="S46">
        <f t="shared" si="2"/>
        <v>1</v>
      </c>
      <c r="T46">
        <f t="shared" si="3"/>
        <v>1</v>
      </c>
    </row>
    <row r="47" spans="1:20" x14ac:dyDescent="0.25">
      <c r="A47" t="s">
        <v>112</v>
      </c>
      <c r="B47">
        <v>46</v>
      </c>
      <c r="C47" t="s">
        <v>21</v>
      </c>
      <c r="D47" t="s">
        <v>52</v>
      </c>
      <c r="E47" t="s">
        <v>56</v>
      </c>
      <c r="F47" s="2">
        <v>45932</v>
      </c>
      <c r="G47" s="2">
        <v>45934</v>
      </c>
      <c r="H47" t="s">
        <v>31</v>
      </c>
      <c r="I47" t="s">
        <v>42</v>
      </c>
      <c r="J47" s="2">
        <v>45936</v>
      </c>
      <c r="K47" s="2">
        <v>45936</v>
      </c>
      <c r="L47" t="s">
        <v>26</v>
      </c>
      <c r="M47" t="s">
        <v>57</v>
      </c>
      <c r="O47" t="s">
        <v>81</v>
      </c>
      <c r="Q47">
        <f t="shared" si="0"/>
        <v>1</v>
      </c>
      <c r="R47" s="3">
        <f t="shared" si="1"/>
        <v>4</v>
      </c>
      <c r="S47">
        <f t="shared" si="2"/>
        <v>0</v>
      </c>
      <c r="T47">
        <f t="shared" si="3"/>
        <v>0</v>
      </c>
    </row>
    <row r="48" spans="1:20" x14ac:dyDescent="0.25">
      <c r="A48" t="s">
        <v>113</v>
      </c>
      <c r="B48">
        <v>47</v>
      </c>
      <c r="C48" t="s">
        <v>36</v>
      </c>
      <c r="D48" t="s">
        <v>39</v>
      </c>
      <c r="E48" t="s">
        <v>56</v>
      </c>
      <c r="F48" s="2">
        <v>45826</v>
      </c>
      <c r="G48" s="2">
        <v>45828</v>
      </c>
      <c r="H48" t="s">
        <v>31</v>
      </c>
      <c r="I48" t="s">
        <v>85</v>
      </c>
      <c r="J48" s="2">
        <v>45829</v>
      </c>
      <c r="K48" s="2">
        <v>45829</v>
      </c>
      <c r="L48" t="s">
        <v>46</v>
      </c>
      <c r="M48" t="s">
        <v>57</v>
      </c>
      <c r="O48" t="s">
        <v>81</v>
      </c>
      <c r="Q48">
        <f t="shared" si="0"/>
        <v>1</v>
      </c>
      <c r="R48" s="3">
        <f t="shared" si="1"/>
        <v>3</v>
      </c>
      <c r="S48">
        <f t="shared" si="2"/>
        <v>0</v>
      </c>
      <c r="T48">
        <f t="shared" si="3"/>
        <v>1</v>
      </c>
    </row>
    <row r="49" spans="1:20" x14ac:dyDescent="0.25">
      <c r="A49" t="s">
        <v>114</v>
      </c>
      <c r="B49">
        <v>48</v>
      </c>
      <c r="C49" t="s">
        <v>78</v>
      </c>
      <c r="D49" t="s">
        <v>39</v>
      </c>
      <c r="E49" t="s">
        <v>53</v>
      </c>
      <c r="F49" s="2">
        <v>45997</v>
      </c>
      <c r="G49" s="2">
        <v>45998</v>
      </c>
      <c r="H49" t="s">
        <v>41</v>
      </c>
      <c r="I49" t="s">
        <v>73</v>
      </c>
      <c r="J49" s="2">
        <v>46001</v>
      </c>
      <c r="K49" s="2">
        <v>46001</v>
      </c>
      <c r="L49" t="s">
        <v>26</v>
      </c>
      <c r="M49" t="s">
        <v>57</v>
      </c>
      <c r="O49" t="s">
        <v>81</v>
      </c>
      <c r="Q49">
        <f t="shared" si="0"/>
        <v>1</v>
      </c>
      <c r="R49" s="3">
        <f t="shared" si="1"/>
        <v>4</v>
      </c>
      <c r="S49">
        <f t="shared" si="2"/>
        <v>0</v>
      </c>
      <c r="T49">
        <f t="shared" si="3"/>
        <v>0</v>
      </c>
    </row>
    <row r="50" spans="1:20" x14ac:dyDescent="0.25">
      <c r="A50" t="s">
        <v>115</v>
      </c>
      <c r="B50">
        <v>49</v>
      </c>
      <c r="C50" t="s">
        <v>59</v>
      </c>
      <c r="D50" t="s">
        <v>52</v>
      </c>
      <c r="E50" t="s">
        <v>56</v>
      </c>
      <c r="F50" s="2">
        <v>45733</v>
      </c>
      <c r="G50" s="2">
        <v>45734</v>
      </c>
      <c r="H50" t="s">
        <v>61</v>
      </c>
      <c r="I50" t="s">
        <v>25</v>
      </c>
      <c r="J50" s="2">
        <v>45738</v>
      </c>
      <c r="K50" s="2">
        <v>45738</v>
      </c>
      <c r="L50" t="s">
        <v>26</v>
      </c>
      <c r="M50" t="s">
        <v>27</v>
      </c>
      <c r="O50" t="s">
        <v>81</v>
      </c>
      <c r="Q50">
        <f t="shared" si="0"/>
        <v>1</v>
      </c>
      <c r="R50" s="3">
        <f t="shared" si="1"/>
        <v>5</v>
      </c>
      <c r="S50">
        <f t="shared" si="2"/>
        <v>0</v>
      </c>
      <c r="T50">
        <f t="shared" si="3"/>
        <v>0</v>
      </c>
    </row>
    <row r="51" spans="1:20" x14ac:dyDescent="0.25">
      <c r="A51" t="s">
        <v>116</v>
      </c>
      <c r="B51">
        <v>50</v>
      </c>
      <c r="C51" t="s">
        <v>59</v>
      </c>
      <c r="D51" t="s">
        <v>22</v>
      </c>
      <c r="E51" t="s">
        <v>56</v>
      </c>
      <c r="F51" s="2">
        <v>45939</v>
      </c>
      <c r="G51" s="2">
        <v>45941</v>
      </c>
      <c r="H51" t="s">
        <v>31</v>
      </c>
      <c r="I51" t="s">
        <v>62</v>
      </c>
      <c r="J51" s="2">
        <v>45942</v>
      </c>
      <c r="K51" s="2">
        <v>45942</v>
      </c>
      <c r="L51" t="s">
        <v>26</v>
      </c>
      <c r="M51" t="s">
        <v>27</v>
      </c>
      <c r="O51" t="s">
        <v>34</v>
      </c>
      <c r="Q51">
        <f t="shared" si="0"/>
        <v>1</v>
      </c>
      <c r="R51" s="3">
        <f t="shared" si="1"/>
        <v>3</v>
      </c>
      <c r="S51">
        <f t="shared" si="2"/>
        <v>0</v>
      </c>
      <c r="T51">
        <f t="shared" si="3"/>
        <v>0</v>
      </c>
    </row>
    <row r="52" spans="1:20" x14ac:dyDescent="0.25">
      <c r="A52" t="s">
        <v>117</v>
      </c>
      <c r="B52">
        <v>51</v>
      </c>
      <c r="C52" t="s">
        <v>59</v>
      </c>
      <c r="D52" t="s">
        <v>64</v>
      </c>
      <c r="E52" t="s">
        <v>60</v>
      </c>
      <c r="F52" s="2">
        <v>45830</v>
      </c>
      <c r="G52" s="2">
        <v>45832</v>
      </c>
      <c r="H52" t="s">
        <v>41</v>
      </c>
      <c r="I52" t="s">
        <v>54</v>
      </c>
      <c r="J52" s="2">
        <v>45834</v>
      </c>
      <c r="K52" s="2">
        <v>45834</v>
      </c>
      <c r="L52" t="s">
        <v>46</v>
      </c>
      <c r="M52" t="s">
        <v>57</v>
      </c>
      <c r="O52" t="s">
        <v>37</v>
      </c>
      <c r="Q52">
        <f t="shared" si="0"/>
        <v>1</v>
      </c>
      <c r="R52" s="3">
        <f t="shared" si="1"/>
        <v>4</v>
      </c>
      <c r="S52">
        <f t="shared" si="2"/>
        <v>0</v>
      </c>
      <c r="T52">
        <f t="shared" si="3"/>
        <v>1</v>
      </c>
    </row>
    <row r="53" spans="1:20" x14ac:dyDescent="0.25">
      <c r="A53" t="s">
        <v>118</v>
      </c>
      <c r="B53">
        <v>52</v>
      </c>
      <c r="C53" t="s">
        <v>59</v>
      </c>
      <c r="D53" t="s">
        <v>64</v>
      </c>
      <c r="E53" t="s">
        <v>23</v>
      </c>
      <c r="F53" s="2">
        <v>45840</v>
      </c>
      <c r="G53" s="2">
        <v>45841</v>
      </c>
      <c r="H53" t="s">
        <v>45</v>
      </c>
      <c r="I53" t="s">
        <v>54</v>
      </c>
      <c r="J53" s="2">
        <v>45847</v>
      </c>
      <c r="K53" s="2">
        <v>45847</v>
      </c>
      <c r="L53" t="s">
        <v>26</v>
      </c>
      <c r="M53" t="s">
        <v>57</v>
      </c>
      <c r="O53" t="s">
        <v>69</v>
      </c>
      <c r="Q53">
        <f t="shared" si="0"/>
        <v>1</v>
      </c>
      <c r="R53" s="3">
        <f t="shared" si="1"/>
        <v>7</v>
      </c>
      <c r="S53">
        <f t="shared" si="2"/>
        <v>0</v>
      </c>
      <c r="T53">
        <f t="shared" si="3"/>
        <v>0</v>
      </c>
    </row>
    <row r="54" spans="1:20" x14ac:dyDescent="0.25">
      <c r="A54" t="s">
        <v>119</v>
      </c>
      <c r="B54">
        <v>53</v>
      </c>
      <c r="C54" t="s">
        <v>21</v>
      </c>
      <c r="D54" t="s">
        <v>39</v>
      </c>
      <c r="E54" t="s">
        <v>23</v>
      </c>
      <c r="F54" s="2">
        <v>45917</v>
      </c>
      <c r="G54" s="2">
        <v>45919</v>
      </c>
      <c r="H54" t="s">
        <v>45</v>
      </c>
      <c r="I54" t="s">
        <v>85</v>
      </c>
      <c r="J54" s="2">
        <v>45923</v>
      </c>
      <c r="K54" s="2">
        <v>45923</v>
      </c>
      <c r="L54" t="s">
        <v>26</v>
      </c>
      <c r="M54" t="s">
        <v>27</v>
      </c>
      <c r="O54" t="s">
        <v>81</v>
      </c>
      <c r="Q54">
        <f t="shared" si="0"/>
        <v>1</v>
      </c>
      <c r="R54" s="3">
        <f t="shared" si="1"/>
        <v>6</v>
      </c>
      <c r="S54">
        <f t="shared" si="2"/>
        <v>0</v>
      </c>
      <c r="T54">
        <f t="shared" si="3"/>
        <v>0</v>
      </c>
    </row>
    <row r="55" spans="1:20" x14ac:dyDescent="0.25">
      <c r="A55" t="s">
        <v>120</v>
      </c>
      <c r="B55">
        <v>54</v>
      </c>
      <c r="C55" t="s">
        <v>21</v>
      </c>
      <c r="D55" t="s">
        <v>52</v>
      </c>
      <c r="E55" t="s">
        <v>53</v>
      </c>
      <c r="F55" s="2">
        <v>45878</v>
      </c>
      <c r="G55" s="2">
        <v>45880</v>
      </c>
      <c r="H55" t="s">
        <v>31</v>
      </c>
      <c r="I55" t="s">
        <v>25</v>
      </c>
      <c r="J55" s="2">
        <v>45882</v>
      </c>
      <c r="K55" s="2">
        <v>45882</v>
      </c>
      <c r="L55" t="s">
        <v>26</v>
      </c>
      <c r="M55" t="s">
        <v>27</v>
      </c>
      <c r="O55" t="s">
        <v>81</v>
      </c>
      <c r="Q55">
        <f t="shared" si="0"/>
        <v>1</v>
      </c>
      <c r="R55" s="3">
        <f t="shared" si="1"/>
        <v>4</v>
      </c>
      <c r="S55">
        <f t="shared" si="2"/>
        <v>0</v>
      </c>
      <c r="T55">
        <f t="shared" si="3"/>
        <v>0</v>
      </c>
    </row>
    <row r="56" spans="1:20" x14ac:dyDescent="0.25">
      <c r="A56" t="s">
        <v>121</v>
      </c>
      <c r="B56">
        <v>55</v>
      </c>
      <c r="C56" t="s">
        <v>51</v>
      </c>
      <c r="D56" t="s">
        <v>22</v>
      </c>
      <c r="E56" t="s">
        <v>60</v>
      </c>
      <c r="F56" s="2">
        <v>45823</v>
      </c>
      <c r="G56" s="2">
        <v>45824</v>
      </c>
      <c r="H56" t="s">
        <v>31</v>
      </c>
      <c r="I56" t="s">
        <v>62</v>
      </c>
      <c r="J56" s="2">
        <v>45829</v>
      </c>
      <c r="K56" s="2">
        <v>45830</v>
      </c>
      <c r="L56" t="s">
        <v>26</v>
      </c>
      <c r="M56" t="s">
        <v>57</v>
      </c>
      <c r="O56" t="s">
        <v>28</v>
      </c>
      <c r="P56" t="s">
        <v>93</v>
      </c>
      <c r="Q56">
        <f t="shared" si="0"/>
        <v>0</v>
      </c>
      <c r="R56" s="3">
        <f t="shared" si="1"/>
        <v>6</v>
      </c>
      <c r="S56">
        <f t="shared" si="2"/>
        <v>0</v>
      </c>
      <c r="T56">
        <f t="shared" si="3"/>
        <v>0</v>
      </c>
    </row>
    <row r="57" spans="1:20" x14ac:dyDescent="0.25">
      <c r="A57" t="s">
        <v>122</v>
      </c>
      <c r="B57">
        <v>56</v>
      </c>
      <c r="C57" t="s">
        <v>59</v>
      </c>
      <c r="D57" t="s">
        <v>52</v>
      </c>
      <c r="E57" t="s">
        <v>56</v>
      </c>
      <c r="F57" s="2">
        <v>45660</v>
      </c>
      <c r="G57" s="2">
        <v>45661</v>
      </c>
      <c r="H57" t="s">
        <v>45</v>
      </c>
      <c r="I57" t="s">
        <v>73</v>
      </c>
      <c r="J57" s="2">
        <v>45665</v>
      </c>
      <c r="K57" s="2">
        <v>45665</v>
      </c>
      <c r="L57" t="s">
        <v>26</v>
      </c>
      <c r="M57" t="s">
        <v>57</v>
      </c>
      <c r="O57" t="s">
        <v>43</v>
      </c>
      <c r="P57" t="s">
        <v>76</v>
      </c>
      <c r="Q57">
        <f t="shared" si="0"/>
        <v>1</v>
      </c>
      <c r="R57" s="3">
        <f t="shared" si="1"/>
        <v>5</v>
      </c>
      <c r="S57">
        <f t="shared" si="2"/>
        <v>0</v>
      </c>
      <c r="T57">
        <f t="shared" si="3"/>
        <v>0</v>
      </c>
    </row>
    <row r="58" spans="1:20" x14ac:dyDescent="0.25">
      <c r="A58" t="s">
        <v>123</v>
      </c>
      <c r="B58">
        <v>57</v>
      </c>
      <c r="C58" t="s">
        <v>78</v>
      </c>
      <c r="D58" t="s">
        <v>64</v>
      </c>
      <c r="E58" t="s">
        <v>56</v>
      </c>
      <c r="F58" s="2">
        <v>45695</v>
      </c>
      <c r="G58" s="2">
        <v>45696</v>
      </c>
      <c r="H58" t="s">
        <v>61</v>
      </c>
      <c r="I58" t="s">
        <v>42</v>
      </c>
      <c r="J58" s="2">
        <v>45698</v>
      </c>
      <c r="K58" s="2">
        <v>45702</v>
      </c>
      <c r="L58" t="s">
        <v>46</v>
      </c>
      <c r="M58" t="s">
        <v>32</v>
      </c>
      <c r="N58" t="s">
        <v>47</v>
      </c>
      <c r="O58" t="s">
        <v>43</v>
      </c>
      <c r="Q58">
        <f t="shared" si="0"/>
        <v>0</v>
      </c>
      <c r="R58" s="3">
        <f t="shared" si="1"/>
        <v>3</v>
      </c>
      <c r="S58">
        <f t="shared" si="2"/>
        <v>1</v>
      </c>
      <c r="T58">
        <f t="shared" si="3"/>
        <v>1</v>
      </c>
    </row>
    <row r="59" spans="1:20" x14ac:dyDescent="0.25">
      <c r="A59" t="s">
        <v>124</v>
      </c>
      <c r="B59">
        <v>58</v>
      </c>
      <c r="C59" t="s">
        <v>21</v>
      </c>
      <c r="D59" t="s">
        <v>30</v>
      </c>
      <c r="E59" t="s">
        <v>60</v>
      </c>
      <c r="F59" s="2">
        <v>45952</v>
      </c>
      <c r="G59" s="2">
        <v>45952</v>
      </c>
      <c r="H59" t="s">
        <v>45</v>
      </c>
      <c r="I59" t="s">
        <v>25</v>
      </c>
      <c r="J59" s="2">
        <v>45953</v>
      </c>
      <c r="K59" s="2">
        <v>45953</v>
      </c>
      <c r="L59" t="s">
        <v>26</v>
      </c>
      <c r="M59" t="s">
        <v>27</v>
      </c>
      <c r="O59" t="s">
        <v>81</v>
      </c>
      <c r="Q59">
        <f t="shared" si="0"/>
        <v>1</v>
      </c>
      <c r="R59" s="3">
        <f t="shared" si="1"/>
        <v>1</v>
      </c>
      <c r="S59">
        <f t="shared" si="2"/>
        <v>0</v>
      </c>
      <c r="T59">
        <f t="shared" si="3"/>
        <v>0</v>
      </c>
    </row>
    <row r="60" spans="1:20" x14ac:dyDescent="0.25">
      <c r="A60" t="s">
        <v>125</v>
      </c>
      <c r="B60">
        <v>59</v>
      </c>
      <c r="C60" t="s">
        <v>59</v>
      </c>
      <c r="D60" t="s">
        <v>64</v>
      </c>
      <c r="E60" t="s">
        <v>60</v>
      </c>
      <c r="F60" s="2">
        <v>45880</v>
      </c>
      <c r="G60" s="2">
        <v>45882</v>
      </c>
      <c r="H60" t="s">
        <v>61</v>
      </c>
      <c r="I60" t="s">
        <v>73</v>
      </c>
      <c r="J60" s="2">
        <v>45883</v>
      </c>
      <c r="K60" s="2">
        <v>45883</v>
      </c>
      <c r="L60" t="s">
        <v>26</v>
      </c>
      <c r="M60" t="s">
        <v>27</v>
      </c>
      <c r="O60" t="s">
        <v>69</v>
      </c>
      <c r="P60" t="s">
        <v>88</v>
      </c>
      <c r="Q60">
        <f t="shared" si="0"/>
        <v>1</v>
      </c>
      <c r="R60" s="3">
        <f t="shared" si="1"/>
        <v>3</v>
      </c>
      <c r="S60">
        <f t="shared" si="2"/>
        <v>0</v>
      </c>
      <c r="T60">
        <f t="shared" si="3"/>
        <v>0</v>
      </c>
    </row>
    <row r="61" spans="1:20" x14ac:dyDescent="0.25">
      <c r="A61" t="s">
        <v>126</v>
      </c>
      <c r="B61">
        <v>60</v>
      </c>
      <c r="C61" t="s">
        <v>51</v>
      </c>
      <c r="D61" t="s">
        <v>39</v>
      </c>
      <c r="E61" t="s">
        <v>53</v>
      </c>
      <c r="F61" s="2">
        <v>45945</v>
      </c>
      <c r="G61" s="2">
        <v>45945</v>
      </c>
      <c r="H61" t="s">
        <v>41</v>
      </c>
      <c r="I61" t="s">
        <v>83</v>
      </c>
      <c r="J61" s="2">
        <v>45946</v>
      </c>
      <c r="K61" s="2">
        <v>45946</v>
      </c>
      <c r="L61" t="s">
        <v>26</v>
      </c>
      <c r="M61" t="s">
        <v>27</v>
      </c>
      <c r="O61" t="s">
        <v>69</v>
      </c>
      <c r="Q61">
        <f t="shared" si="0"/>
        <v>1</v>
      </c>
      <c r="R61" s="3">
        <f t="shared" si="1"/>
        <v>1</v>
      </c>
      <c r="S61">
        <f t="shared" si="2"/>
        <v>0</v>
      </c>
      <c r="T61">
        <f t="shared" si="3"/>
        <v>0</v>
      </c>
    </row>
    <row r="62" spans="1:20" x14ac:dyDescent="0.25">
      <c r="A62" t="s">
        <v>127</v>
      </c>
      <c r="B62">
        <v>61</v>
      </c>
      <c r="C62" t="s">
        <v>51</v>
      </c>
      <c r="D62" t="s">
        <v>52</v>
      </c>
      <c r="E62" t="s">
        <v>40</v>
      </c>
      <c r="F62" s="2">
        <v>46017</v>
      </c>
      <c r="G62" s="2">
        <v>46018</v>
      </c>
      <c r="H62" t="s">
        <v>41</v>
      </c>
      <c r="I62" t="s">
        <v>62</v>
      </c>
      <c r="J62" s="2">
        <v>46022</v>
      </c>
      <c r="K62" s="2">
        <v>46023</v>
      </c>
      <c r="L62" t="s">
        <v>26</v>
      </c>
      <c r="M62" t="s">
        <v>57</v>
      </c>
      <c r="O62" t="s">
        <v>43</v>
      </c>
      <c r="P62" t="s">
        <v>93</v>
      </c>
      <c r="Q62">
        <f t="shared" si="0"/>
        <v>0</v>
      </c>
      <c r="R62" s="3">
        <f t="shared" si="1"/>
        <v>5</v>
      </c>
      <c r="S62">
        <f t="shared" si="2"/>
        <v>0</v>
      </c>
      <c r="T62">
        <f t="shared" si="3"/>
        <v>0</v>
      </c>
    </row>
    <row r="63" spans="1:20" x14ac:dyDescent="0.25">
      <c r="A63" t="s">
        <v>128</v>
      </c>
      <c r="B63">
        <v>62</v>
      </c>
      <c r="C63" t="s">
        <v>78</v>
      </c>
      <c r="D63" t="s">
        <v>52</v>
      </c>
      <c r="E63" t="s">
        <v>60</v>
      </c>
      <c r="F63" s="2">
        <v>45932</v>
      </c>
      <c r="G63" s="2">
        <v>45933</v>
      </c>
      <c r="H63" t="s">
        <v>45</v>
      </c>
      <c r="I63" t="s">
        <v>25</v>
      </c>
      <c r="J63" s="2">
        <v>45934</v>
      </c>
      <c r="K63" s="2">
        <v>45934</v>
      </c>
      <c r="L63" t="s">
        <v>26</v>
      </c>
      <c r="M63" t="s">
        <v>57</v>
      </c>
      <c r="O63" t="s">
        <v>43</v>
      </c>
      <c r="Q63">
        <f t="shared" si="0"/>
        <v>1</v>
      </c>
      <c r="R63" s="3">
        <f t="shared" si="1"/>
        <v>2</v>
      </c>
      <c r="S63">
        <f t="shared" si="2"/>
        <v>0</v>
      </c>
      <c r="T63">
        <f t="shared" si="3"/>
        <v>0</v>
      </c>
    </row>
    <row r="64" spans="1:20" x14ac:dyDescent="0.25">
      <c r="A64" t="s">
        <v>129</v>
      </c>
      <c r="B64">
        <v>63</v>
      </c>
      <c r="C64" t="s">
        <v>59</v>
      </c>
      <c r="D64" t="s">
        <v>22</v>
      </c>
      <c r="E64" t="s">
        <v>40</v>
      </c>
      <c r="F64" s="2">
        <v>45680</v>
      </c>
      <c r="G64" s="2">
        <v>45682</v>
      </c>
      <c r="H64" t="s">
        <v>45</v>
      </c>
      <c r="I64" t="s">
        <v>83</v>
      </c>
      <c r="J64" s="2">
        <v>45685</v>
      </c>
      <c r="K64" s="2">
        <v>45689</v>
      </c>
      <c r="L64" t="s">
        <v>26</v>
      </c>
      <c r="M64" t="s">
        <v>32</v>
      </c>
      <c r="N64" t="s">
        <v>75</v>
      </c>
      <c r="O64" t="s">
        <v>81</v>
      </c>
      <c r="P64" t="s">
        <v>93</v>
      </c>
      <c r="Q64">
        <f t="shared" si="0"/>
        <v>0</v>
      </c>
      <c r="R64" s="3">
        <f t="shared" si="1"/>
        <v>5</v>
      </c>
      <c r="S64">
        <f t="shared" si="2"/>
        <v>1</v>
      </c>
      <c r="T64">
        <f t="shared" si="3"/>
        <v>0</v>
      </c>
    </row>
    <row r="65" spans="1:20" x14ac:dyDescent="0.25">
      <c r="A65" t="s">
        <v>130</v>
      </c>
      <c r="B65">
        <v>64</v>
      </c>
      <c r="C65" t="s">
        <v>36</v>
      </c>
      <c r="D65" t="s">
        <v>39</v>
      </c>
      <c r="E65" t="s">
        <v>60</v>
      </c>
      <c r="F65" s="2">
        <v>45782</v>
      </c>
      <c r="G65" s="2">
        <v>45783</v>
      </c>
      <c r="H65" t="s">
        <v>24</v>
      </c>
      <c r="I65" t="s">
        <v>85</v>
      </c>
      <c r="J65" s="2">
        <v>45786</v>
      </c>
      <c r="K65" s="2">
        <v>45786</v>
      </c>
      <c r="L65" t="s">
        <v>26</v>
      </c>
      <c r="M65" t="s">
        <v>27</v>
      </c>
      <c r="O65" t="s">
        <v>43</v>
      </c>
      <c r="Q65">
        <f t="shared" si="0"/>
        <v>1</v>
      </c>
      <c r="R65" s="3">
        <f t="shared" si="1"/>
        <v>4</v>
      </c>
      <c r="S65">
        <f t="shared" si="2"/>
        <v>0</v>
      </c>
      <c r="T65">
        <f t="shared" si="3"/>
        <v>0</v>
      </c>
    </row>
    <row r="66" spans="1:20" x14ac:dyDescent="0.25">
      <c r="A66" t="s">
        <v>131</v>
      </c>
      <c r="B66">
        <v>65</v>
      </c>
      <c r="C66" t="s">
        <v>21</v>
      </c>
      <c r="D66" t="s">
        <v>52</v>
      </c>
      <c r="E66" t="s">
        <v>53</v>
      </c>
      <c r="F66" s="2">
        <v>45914</v>
      </c>
      <c r="G66" s="2">
        <v>45914</v>
      </c>
      <c r="H66" t="s">
        <v>61</v>
      </c>
      <c r="I66" t="s">
        <v>54</v>
      </c>
      <c r="J66" s="2">
        <v>45920</v>
      </c>
      <c r="K66" s="2">
        <v>45920</v>
      </c>
      <c r="L66" t="s">
        <v>26</v>
      </c>
      <c r="M66" t="s">
        <v>57</v>
      </c>
      <c r="O66" t="s">
        <v>28</v>
      </c>
      <c r="Q66">
        <f t="shared" si="0"/>
        <v>1</v>
      </c>
      <c r="R66" s="3">
        <f t="shared" si="1"/>
        <v>6</v>
      </c>
      <c r="S66">
        <f t="shared" si="2"/>
        <v>0</v>
      </c>
      <c r="T66">
        <f t="shared" si="3"/>
        <v>0</v>
      </c>
    </row>
    <row r="67" spans="1:20" x14ac:dyDescent="0.25">
      <c r="A67" t="s">
        <v>132</v>
      </c>
      <c r="B67">
        <v>66</v>
      </c>
      <c r="C67" t="s">
        <v>51</v>
      </c>
      <c r="D67" t="s">
        <v>22</v>
      </c>
      <c r="E67" t="s">
        <v>40</v>
      </c>
      <c r="F67" s="2">
        <v>45770</v>
      </c>
      <c r="G67" s="2">
        <v>45771</v>
      </c>
      <c r="H67" t="s">
        <v>61</v>
      </c>
      <c r="I67" t="s">
        <v>73</v>
      </c>
      <c r="J67" s="2">
        <v>45773</v>
      </c>
      <c r="K67" s="2">
        <v>45773</v>
      </c>
      <c r="L67" t="s">
        <v>26</v>
      </c>
      <c r="M67" t="s">
        <v>27</v>
      </c>
      <c r="O67" t="s">
        <v>69</v>
      </c>
      <c r="Q67">
        <f t="shared" ref="Q67:Q130" si="4">IF(K67&lt;=J67,1,0)</f>
        <v>1</v>
      </c>
      <c r="R67" s="3">
        <f t="shared" ref="R67:R130" si="5">(J67-F67)</f>
        <v>3</v>
      </c>
      <c r="S67">
        <f t="shared" ref="S67:S130" si="6">IF(M67="Delayed",1,0)</f>
        <v>0</v>
      </c>
      <c r="T67">
        <f t="shared" ref="T67:T130" si="7">IF(L67="n",1,0)</f>
        <v>0</v>
      </c>
    </row>
    <row r="68" spans="1:20" x14ac:dyDescent="0.25">
      <c r="A68" t="s">
        <v>133</v>
      </c>
      <c r="B68">
        <v>67</v>
      </c>
      <c r="C68" t="s">
        <v>36</v>
      </c>
      <c r="D68" t="s">
        <v>64</v>
      </c>
      <c r="E68" t="s">
        <v>60</v>
      </c>
      <c r="F68" s="2">
        <v>46000</v>
      </c>
      <c r="G68" s="2">
        <v>46001</v>
      </c>
      <c r="H68" t="s">
        <v>61</v>
      </c>
      <c r="I68" t="s">
        <v>62</v>
      </c>
      <c r="J68" s="2">
        <v>46004</v>
      </c>
      <c r="K68" s="2">
        <v>46006</v>
      </c>
      <c r="L68" t="s">
        <v>26</v>
      </c>
      <c r="M68" t="s">
        <v>32</v>
      </c>
      <c r="N68" t="s">
        <v>49</v>
      </c>
      <c r="O68" t="s">
        <v>81</v>
      </c>
      <c r="Q68">
        <f t="shared" si="4"/>
        <v>0</v>
      </c>
      <c r="R68" s="3">
        <f t="shared" si="5"/>
        <v>4</v>
      </c>
      <c r="S68">
        <f t="shared" si="6"/>
        <v>1</v>
      </c>
      <c r="T68">
        <f t="shared" si="7"/>
        <v>0</v>
      </c>
    </row>
    <row r="69" spans="1:20" x14ac:dyDescent="0.25">
      <c r="A69" t="s">
        <v>134</v>
      </c>
      <c r="B69">
        <v>68</v>
      </c>
      <c r="C69" t="s">
        <v>59</v>
      </c>
      <c r="D69" t="s">
        <v>22</v>
      </c>
      <c r="E69" t="s">
        <v>23</v>
      </c>
      <c r="F69" s="2">
        <v>45999</v>
      </c>
      <c r="G69" s="2">
        <v>46001</v>
      </c>
      <c r="H69" t="s">
        <v>45</v>
      </c>
      <c r="I69" t="s">
        <v>54</v>
      </c>
      <c r="J69" s="2">
        <v>46002</v>
      </c>
      <c r="K69" s="2">
        <v>46003</v>
      </c>
      <c r="L69" t="s">
        <v>26</v>
      </c>
      <c r="M69" t="s">
        <v>57</v>
      </c>
      <c r="O69" t="s">
        <v>81</v>
      </c>
      <c r="Q69">
        <f t="shared" si="4"/>
        <v>0</v>
      </c>
      <c r="R69" s="3">
        <f t="shared" si="5"/>
        <v>3</v>
      </c>
      <c r="S69">
        <f t="shared" si="6"/>
        <v>0</v>
      </c>
      <c r="T69">
        <f t="shared" si="7"/>
        <v>0</v>
      </c>
    </row>
    <row r="70" spans="1:20" x14ac:dyDescent="0.25">
      <c r="A70" t="s">
        <v>135</v>
      </c>
      <c r="B70">
        <v>69</v>
      </c>
      <c r="C70" t="s">
        <v>51</v>
      </c>
      <c r="D70" t="s">
        <v>22</v>
      </c>
      <c r="E70" t="s">
        <v>40</v>
      </c>
      <c r="F70" s="2">
        <v>45968</v>
      </c>
      <c r="G70" s="2">
        <v>45970</v>
      </c>
      <c r="H70" t="s">
        <v>61</v>
      </c>
      <c r="I70" t="s">
        <v>54</v>
      </c>
      <c r="J70" s="2">
        <v>45973</v>
      </c>
      <c r="K70" s="2">
        <v>45973</v>
      </c>
      <c r="L70" t="s">
        <v>26</v>
      </c>
      <c r="M70" t="s">
        <v>27</v>
      </c>
      <c r="O70" t="s">
        <v>69</v>
      </c>
      <c r="Q70">
        <f t="shared" si="4"/>
        <v>1</v>
      </c>
      <c r="R70" s="3">
        <f t="shared" si="5"/>
        <v>5</v>
      </c>
      <c r="S70">
        <f t="shared" si="6"/>
        <v>0</v>
      </c>
      <c r="T70">
        <f t="shared" si="7"/>
        <v>0</v>
      </c>
    </row>
    <row r="71" spans="1:20" x14ac:dyDescent="0.25">
      <c r="A71" t="s">
        <v>136</v>
      </c>
      <c r="B71">
        <v>70</v>
      </c>
      <c r="C71" t="s">
        <v>59</v>
      </c>
      <c r="D71" t="s">
        <v>64</v>
      </c>
      <c r="E71" t="s">
        <v>53</v>
      </c>
      <c r="F71" s="2">
        <v>45845</v>
      </c>
      <c r="G71" s="2">
        <v>45845</v>
      </c>
      <c r="H71" t="s">
        <v>45</v>
      </c>
      <c r="I71" t="s">
        <v>25</v>
      </c>
      <c r="J71" s="2">
        <v>45847</v>
      </c>
      <c r="K71" s="2">
        <v>45847</v>
      </c>
      <c r="L71" t="s">
        <v>26</v>
      </c>
      <c r="M71" t="s">
        <v>27</v>
      </c>
      <c r="O71" t="s">
        <v>37</v>
      </c>
      <c r="Q71">
        <f t="shared" si="4"/>
        <v>1</v>
      </c>
      <c r="R71" s="3">
        <f t="shared" si="5"/>
        <v>2</v>
      </c>
      <c r="S71">
        <f t="shared" si="6"/>
        <v>0</v>
      </c>
      <c r="T71">
        <f t="shared" si="7"/>
        <v>0</v>
      </c>
    </row>
    <row r="72" spans="1:20" x14ac:dyDescent="0.25">
      <c r="A72" t="s">
        <v>137</v>
      </c>
      <c r="B72">
        <v>71</v>
      </c>
      <c r="C72" t="s">
        <v>51</v>
      </c>
      <c r="D72" t="s">
        <v>30</v>
      </c>
      <c r="E72" t="s">
        <v>56</v>
      </c>
      <c r="F72" s="2">
        <v>45973</v>
      </c>
      <c r="G72" s="2">
        <v>45973</v>
      </c>
      <c r="H72" t="s">
        <v>31</v>
      </c>
      <c r="I72" t="s">
        <v>54</v>
      </c>
      <c r="J72" s="2">
        <v>45976</v>
      </c>
      <c r="K72" s="2">
        <v>45976</v>
      </c>
      <c r="L72" t="s">
        <v>26</v>
      </c>
      <c r="M72" t="s">
        <v>57</v>
      </c>
      <c r="O72" t="s">
        <v>28</v>
      </c>
      <c r="Q72">
        <f t="shared" si="4"/>
        <v>1</v>
      </c>
      <c r="R72" s="3">
        <f t="shared" si="5"/>
        <v>3</v>
      </c>
      <c r="S72">
        <f t="shared" si="6"/>
        <v>0</v>
      </c>
      <c r="T72">
        <f t="shared" si="7"/>
        <v>0</v>
      </c>
    </row>
    <row r="73" spans="1:20" x14ac:dyDescent="0.25">
      <c r="A73" t="s">
        <v>138</v>
      </c>
      <c r="B73">
        <v>72</v>
      </c>
      <c r="C73" t="s">
        <v>36</v>
      </c>
      <c r="D73" t="s">
        <v>39</v>
      </c>
      <c r="E73" t="s">
        <v>53</v>
      </c>
      <c r="F73" s="2">
        <v>45737</v>
      </c>
      <c r="G73" s="2">
        <v>45737</v>
      </c>
      <c r="H73" t="s">
        <v>41</v>
      </c>
      <c r="I73" t="s">
        <v>83</v>
      </c>
      <c r="J73" s="2">
        <v>45740</v>
      </c>
      <c r="K73" s="2">
        <v>45740</v>
      </c>
      <c r="L73" t="s">
        <v>26</v>
      </c>
      <c r="M73" t="s">
        <v>57</v>
      </c>
      <c r="O73" t="s">
        <v>43</v>
      </c>
      <c r="P73" t="s">
        <v>88</v>
      </c>
      <c r="Q73">
        <f t="shared" si="4"/>
        <v>1</v>
      </c>
      <c r="R73" s="3">
        <f t="shared" si="5"/>
        <v>3</v>
      </c>
      <c r="S73">
        <f t="shared" si="6"/>
        <v>0</v>
      </c>
      <c r="T73">
        <f t="shared" si="7"/>
        <v>0</v>
      </c>
    </row>
    <row r="74" spans="1:20" x14ac:dyDescent="0.25">
      <c r="A74" t="s">
        <v>139</v>
      </c>
      <c r="B74">
        <v>73</v>
      </c>
      <c r="C74" t="s">
        <v>51</v>
      </c>
      <c r="D74" t="s">
        <v>52</v>
      </c>
      <c r="E74" t="s">
        <v>56</v>
      </c>
      <c r="F74" s="2">
        <v>45798</v>
      </c>
      <c r="G74" s="2">
        <v>45798</v>
      </c>
      <c r="H74" t="s">
        <v>61</v>
      </c>
      <c r="I74" t="s">
        <v>54</v>
      </c>
      <c r="J74" s="2">
        <v>45802</v>
      </c>
      <c r="K74" s="2">
        <v>45802</v>
      </c>
      <c r="L74" t="s">
        <v>26</v>
      </c>
      <c r="M74" t="s">
        <v>57</v>
      </c>
      <c r="O74" t="s">
        <v>28</v>
      </c>
      <c r="P74" t="s">
        <v>71</v>
      </c>
      <c r="Q74">
        <f t="shared" si="4"/>
        <v>1</v>
      </c>
      <c r="R74" s="3">
        <f t="shared" si="5"/>
        <v>4</v>
      </c>
      <c r="S74">
        <f t="shared" si="6"/>
        <v>0</v>
      </c>
      <c r="T74">
        <f t="shared" si="7"/>
        <v>0</v>
      </c>
    </row>
    <row r="75" spans="1:20" x14ac:dyDescent="0.25">
      <c r="A75" t="s">
        <v>140</v>
      </c>
      <c r="B75">
        <v>74</v>
      </c>
      <c r="C75" t="s">
        <v>21</v>
      </c>
      <c r="D75" t="s">
        <v>64</v>
      </c>
      <c r="E75" t="s">
        <v>40</v>
      </c>
      <c r="F75" s="2">
        <v>45839</v>
      </c>
      <c r="G75" s="2">
        <v>45839</v>
      </c>
      <c r="H75" t="s">
        <v>24</v>
      </c>
      <c r="I75" t="s">
        <v>73</v>
      </c>
      <c r="J75" s="2">
        <v>45841</v>
      </c>
      <c r="K75" s="2">
        <v>45841</v>
      </c>
      <c r="L75" t="s">
        <v>26</v>
      </c>
      <c r="M75" t="s">
        <v>57</v>
      </c>
      <c r="O75" t="s">
        <v>69</v>
      </c>
      <c r="P75" t="s">
        <v>76</v>
      </c>
      <c r="Q75">
        <f t="shared" si="4"/>
        <v>1</v>
      </c>
      <c r="R75" s="3">
        <f t="shared" si="5"/>
        <v>2</v>
      </c>
      <c r="S75">
        <f t="shared" si="6"/>
        <v>0</v>
      </c>
      <c r="T75">
        <f t="shared" si="7"/>
        <v>0</v>
      </c>
    </row>
    <row r="76" spans="1:20" x14ac:dyDescent="0.25">
      <c r="A76" t="s">
        <v>141</v>
      </c>
      <c r="B76">
        <v>75</v>
      </c>
      <c r="C76" t="s">
        <v>59</v>
      </c>
      <c r="D76" t="s">
        <v>52</v>
      </c>
      <c r="E76" t="s">
        <v>23</v>
      </c>
      <c r="F76" s="2">
        <v>45943</v>
      </c>
      <c r="G76" s="2">
        <v>45944</v>
      </c>
      <c r="H76" t="s">
        <v>41</v>
      </c>
      <c r="I76" t="s">
        <v>42</v>
      </c>
      <c r="J76" s="2">
        <v>45948</v>
      </c>
      <c r="K76" s="2">
        <v>45948</v>
      </c>
      <c r="L76" t="s">
        <v>26</v>
      </c>
      <c r="M76" t="s">
        <v>57</v>
      </c>
      <c r="O76" t="s">
        <v>28</v>
      </c>
      <c r="Q76">
        <f t="shared" si="4"/>
        <v>1</v>
      </c>
      <c r="R76" s="3">
        <f t="shared" si="5"/>
        <v>5</v>
      </c>
      <c r="S76">
        <f t="shared" si="6"/>
        <v>0</v>
      </c>
      <c r="T76">
        <f t="shared" si="7"/>
        <v>0</v>
      </c>
    </row>
    <row r="77" spans="1:20" x14ac:dyDescent="0.25">
      <c r="A77" t="s">
        <v>142</v>
      </c>
      <c r="B77">
        <v>76</v>
      </c>
      <c r="C77" t="s">
        <v>51</v>
      </c>
      <c r="D77" t="s">
        <v>30</v>
      </c>
      <c r="E77" t="s">
        <v>40</v>
      </c>
      <c r="F77" s="2">
        <v>45844</v>
      </c>
      <c r="G77" s="2">
        <v>45846</v>
      </c>
      <c r="H77" t="s">
        <v>61</v>
      </c>
      <c r="I77" t="s">
        <v>85</v>
      </c>
      <c r="J77" s="2">
        <v>45852</v>
      </c>
      <c r="K77" s="2">
        <v>45853</v>
      </c>
      <c r="L77" t="s">
        <v>46</v>
      </c>
      <c r="M77" t="s">
        <v>27</v>
      </c>
      <c r="O77" t="s">
        <v>34</v>
      </c>
      <c r="Q77">
        <f t="shared" si="4"/>
        <v>0</v>
      </c>
      <c r="R77" s="3">
        <f t="shared" si="5"/>
        <v>8</v>
      </c>
      <c r="S77">
        <f t="shared" si="6"/>
        <v>0</v>
      </c>
      <c r="T77">
        <f t="shared" si="7"/>
        <v>1</v>
      </c>
    </row>
    <row r="78" spans="1:20" x14ac:dyDescent="0.25">
      <c r="A78" t="s">
        <v>143</v>
      </c>
      <c r="B78">
        <v>77</v>
      </c>
      <c r="C78" t="s">
        <v>36</v>
      </c>
      <c r="D78" t="s">
        <v>22</v>
      </c>
      <c r="E78" t="s">
        <v>23</v>
      </c>
      <c r="F78" s="2">
        <v>45728</v>
      </c>
      <c r="G78" s="2">
        <v>45728</v>
      </c>
      <c r="H78" t="s">
        <v>24</v>
      </c>
      <c r="I78" t="s">
        <v>83</v>
      </c>
      <c r="J78" s="2">
        <v>45730</v>
      </c>
      <c r="K78" s="2">
        <v>45730</v>
      </c>
      <c r="L78" t="s">
        <v>26</v>
      </c>
      <c r="M78" t="s">
        <v>57</v>
      </c>
      <c r="O78" t="s">
        <v>34</v>
      </c>
      <c r="Q78">
        <f t="shared" si="4"/>
        <v>1</v>
      </c>
      <c r="R78" s="3">
        <f t="shared" si="5"/>
        <v>2</v>
      </c>
      <c r="S78">
        <f t="shared" si="6"/>
        <v>0</v>
      </c>
      <c r="T78">
        <f t="shared" si="7"/>
        <v>0</v>
      </c>
    </row>
    <row r="79" spans="1:20" x14ac:dyDescent="0.25">
      <c r="A79" t="s">
        <v>144</v>
      </c>
      <c r="B79">
        <v>78</v>
      </c>
      <c r="C79" t="s">
        <v>21</v>
      </c>
      <c r="D79" t="s">
        <v>52</v>
      </c>
      <c r="E79" t="s">
        <v>23</v>
      </c>
      <c r="F79" s="2">
        <v>45821</v>
      </c>
      <c r="G79" s="2">
        <v>45823</v>
      </c>
      <c r="H79" t="s">
        <v>31</v>
      </c>
      <c r="I79" t="s">
        <v>54</v>
      </c>
      <c r="J79" s="2">
        <v>45827</v>
      </c>
      <c r="K79" s="2">
        <v>45827</v>
      </c>
      <c r="L79" t="s">
        <v>26</v>
      </c>
      <c r="M79" t="s">
        <v>57</v>
      </c>
      <c r="O79" t="s">
        <v>34</v>
      </c>
      <c r="Q79">
        <f t="shared" si="4"/>
        <v>1</v>
      </c>
      <c r="R79" s="3">
        <f t="shared" si="5"/>
        <v>6</v>
      </c>
      <c r="S79">
        <f t="shared" si="6"/>
        <v>0</v>
      </c>
      <c r="T79">
        <f t="shared" si="7"/>
        <v>0</v>
      </c>
    </row>
    <row r="80" spans="1:20" x14ac:dyDescent="0.25">
      <c r="A80" t="s">
        <v>145</v>
      </c>
      <c r="B80">
        <v>79</v>
      </c>
      <c r="C80" t="s">
        <v>51</v>
      </c>
      <c r="D80" t="s">
        <v>22</v>
      </c>
      <c r="E80" t="s">
        <v>40</v>
      </c>
      <c r="F80" s="2">
        <v>45780</v>
      </c>
      <c r="G80" s="2">
        <v>45780</v>
      </c>
      <c r="H80" t="s">
        <v>31</v>
      </c>
      <c r="I80" t="s">
        <v>73</v>
      </c>
      <c r="J80" s="2">
        <v>45783</v>
      </c>
      <c r="K80" s="2">
        <v>45785</v>
      </c>
      <c r="L80" t="s">
        <v>46</v>
      </c>
      <c r="M80" t="s">
        <v>32</v>
      </c>
      <c r="N80" t="s">
        <v>33</v>
      </c>
      <c r="O80" t="s">
        <v>28</v>
      </c>
      <c r="Q80">
        <f t="shared" si="4"/>
        <v>0</v>
      </c>
      <c r="R80" s="3">
        <f t="shared" si="5"/>
        <v>3</v>
      </c>
      <c r="S80">
        <f t="shared" si="6"/>
        <v>1</v>
      </c>
      <c r="T80">
        <f t="shared" si="7"/>
        <v>1</v>
      </c>
    </row>
    <row r="81" spans="1:20" x14ac:dyDescent="0.25">
      <c r="A81" t="s">
        <v>146</v>
      </c>
      <c r="B81">
        <v>80</v>
      </c>
      <c r="C81" t="s">
        <v>78</v>
      </c>
      <c r="D81" t="s">
        <v>39</v>
      </c>
      <c r="E81" t="s">
        <v>23</v>
      </c>
      <c r="F81" s="2">
        <v>45801</v>
      </c>
      <c r="G81" s="2">
        <v>45803</v>
      </c>
      <c r="H81" t="s">
        <v>31</v>
      </c>
      <c r="I81" t="s">
        <v>73</v>
      </c>
      <c r="J81" s="2">
        <v>45807</v>
      </c>
      <c r="K81" s="2">
        <v>45807</v>
      </c>
      <c r="L81" t="s">
        <v>46</v>
      </c>
      <c r="M81" t="s">
        <v>27</v>
      </c>
      <c r="O81" t="s">
        <v>37</v>
      </c>
      <c r="Q81">
        <f t="shared" si="4"/>
        <v>1</v>
      </c>
      <c r="R81" s="3">
        <f t="shared" si="5"/>
        <v>6</v>
      </c>
      <c r="S81">
        <f t="shared" si="6"/>
        <v>0</v>
      </c>
      <c r="T81">
        <f t="shared" si="7"/>
        <v>1</v>
      </c>
    </row>
    <row r="82" spans="1:20" x14ac:dyDescent="0.25">
      <c r="A82" t="s">
        <v>147</v>
      </c>
      <c r="B82">
        <v>81</v>
      </c>
      <c r="C82" t="s">
        <v>21</v>
      </c>
      <c r="D82" t="s">
        <v>22</v>
      </c>
      <c r="E82" t="s">
        <v>40</v>
      </c>
      <c r="F82" s="2">
        <v>45742</v>
      </c>
      <c r="G82" s="2">
        <v>45742</v>
      </c>
      <c r="H82" t="s">
        <v>24</v>
      </c>
      <c r="I82" t="s">
        <v>62</v>
      </c>
      <c r="J82" s="2">
        <v>45744</v>
      </c>
      <c r="K82" s="2">
        <v>45744</v>
      </c>
      <c r="L82" t="s">
        <v>26</v>
      </c>
      <c r="M82" t="s">
        <v>57</v>
      </c>
      <c r="O82" t="s">
        <v>43</v>
      </c>
      <c r="Q82">
        <f t="shared" si="4"/>
        <v>1</v>
      </c>
      <c r="R82" s="3">
        <f t="shared" si="5"/>
        <v>2</v>
      </c>
      <c r="S82">
        <f t="shared" si="6"/>
        <v>0</v>
      </c>
      <c r="T82">
        <f t="shared" si="7"/>
        <v>0</v>
      </c>
    </row>
    <row r="83" spans="1:20" x14ac:dyDescent="0.25">
      <c r="A83" t="s">
        <v>148</v>
      </c>
      <c r="B83">
        <v>82</v>
      </c>
      <c r="C83" t="s">
        <v>21</v>
      </c>
      <c r="D83" t="s">
        <v>39</v>
      </c>
      <c r="E83" t="s">
        <v>23</v>
      </c>
      <c r="F83" s="2">
        <v>45824</v>
      </c>
      <c r="G83" s="2">
        <v>45824</v>
      </c>
      <c r="H83" t="s">
        <v>61</v>
      </c>
      <c r="I83" t="s">
        <v>62</v>
      </c>
      <c r="J83" s="2">
        <v>45828</v>
      </c>
      <c r="K83" s="2">
        <v>45828</v>
      </c>
      <c r="L83" t="s">
        <v>46</v>
      </c>
      <c r="M83" t="s">
        <v>57</v>
      </c>
      <c r="O83" t="s">
        <v>34</v>
      </c>
      <c r="Q83">
        <f t="shared" si="4"/>
        <v>1</v>
      </c>
      <c r="R83" s="3">
        <f t="shared" si="5"/>
        <v>4</v>
      </c>
      <c r="S83">
        <f t="shared" si="6"/>
        <v>0</v>
      </c>
      <c r="T83">
        <f t="shared" si="7"/>
        <v>1</v>
      </c>
    </row>
    <row r="84" spans="1:20" x14ac:dyDescent="0.25">
      <c r="A84" t="s">
        <v>149</v>
      </c>
      <c r="B84">
        <v>83</v>
      </c>
      <c r="C84" t="s">
        <v>21</v>
      </c>
      <c r="D84" t="s">
        <v>64</v>
      </c>
      <c r="E84" t="s">
        <v>40</v>
      </c>
      <c r="F84" s="2">
        <v>45864</v>
      </c>
      <c r="G84" s="2">
        <v>45865</v>
      </c>
      <c r="H84" t="s">
        <v>31</v>
      </c>
      <c r="I84" t="s">
        <v>25</v>
      </c>
      <c r="J84" s="2">
        <v>45866</v>
      </c>
      <c r="K84" s="2">
        <v>45866</v>
      </c>
      <c r="L84" t="s">
        <v>26</v>
      </c>
      <c r="M84" t="s">
        <v>27</v>
      </c>
      <c r="O84" t="s">
        <v>37</v>
      </c>
      <c r="P84" t="s">
        <v>88</v>
      </c>
      <c r="Q84">
        <f t="shared" si="4"/>
        <v>1</v>
      </c>
      <c r="R84" s="3">
        <f t="shared" si="5"/>
        <v>2</v>
      </c>
      <c r="S84">
        <f t="shared" si="6"/>
        <v>0</v>
      </c>
      <c r="T84">
        <f t="shared" si="7"/>
        <v>0</v>
      </c>
    </row>
    <row r="85" spans="1:20" x14ac:dyDescent="0.25">
      <c r="A85" t="s">
        <v>150</v>
      </c>
      <c r="B85">
        <v>84</v>
      </c>
      <c r="C85" t="s">
        <v>51</v>
      </c>
      <c r="D85" t="s">
        <v>39</v>
      </c>
      <c r="E85" t="s">
        <v>23</v>
      </c>
      <c r="F85" s="2">
        <v>45970</v>
      </c>
      <c r="G85" s="2">
        <v>45971</v>
      </c>
      <c r="H85" t="s">
        <v>41</v>
      </c>
      <c r="I85" t="s">
        <v>62</v>
      </c>
      <c r="J85" s="2">
        <v>45974</v>
      </c>
      <c r="K85" s="2">
        <v>45974</v>
      </c>
      <c r="L85" t="s">
        <v>26</v>
      </c>
      <c r="M85" t="s">
        <v>27</v>
      </c>
      <c r="O85" t="s">
        <v>81</v>
      </c>
      <c r="Q85">
        <f t="shared" si="4"/>
        <v>1</v>
      </c>
      <c r="R85" s="3">
        <f t="shared" si="5"/>
        <v>4</v>
      </c>
      <c r="S85">
        <f t="shared" si="6"/>
        <v>0</v>
      </c>
      <c r="T85">
        <f t="shared" si="7"/>
        <v>0</v>
      </c>
    </row>
    <row r="86" spans="1:20" x14ac:dyDescent="0.25">
      <c r="A86" t="s">
        <v>151</v>
      </c>
      <c r="B86">
        <v>85</v>
      </c>
      <c r="C86" t="s">
        <v>51</v>
      </c>
      <c r="D86" t="s">
        <v>52</v>
      </c>
      <c r="E86" t="s">
        <v>60</v>
      </c>
      <c r="F86" s="2">
        <v>45989</v>
      </c>
      <c r="G86" s="2">
        <v>45991</v>
      </c>
      <c r="H86" t="s">
        <v>61</v>
      </c>
      <c r="I86" t="s">
        <v>42</v>
      </c>
      <c r="J86" s="2">
        <v>45992</v>
      </c>
      <c r="K86" s="2">
        <v>45992</v>
      </c>
      <c r="L86" t="s">
        <v>46</v>
      </c>
      <c r="M86" t="s">
        <v>57</v>
      </c>
      <c r="O86" t="s">
        <v>69</v>
      </c>
      <c r="Q86">
        <f t="shared" si="4"/>
        <v>1</v>
      </c>
      <c r="R86" s="3">
        <f t="shared" si="5"/>
        <v>3</v>
      </c>
      <c r="S86">
        <f t="shared" si="6"/>
        <v>0</v>
      </c>
      <c r="T86">
        <f t="shared" si="7"/>
        <v>1</v>
      </c>
    </row>
    <row r="87" spans="1:20" x14ac:dyDescent="0.25">
      <c r="A87" t="s">
        <v>152</v>
      </c>
      <c r="B87">
        <v>86</v>
      </c>
      <c r="C87" t="s">
        <v>36</v>
      </c>
      <c r="D87" t="s">
        <v>52</v>
      </c>
      <c r="E87" t="s">
        <v>40</v>
      </c>
      <c r="F87" s="2">
        <v>45877</v>
      </c>
      <c r="G87" s="2">
        <v>45879</v>
      </c>
      <c r="H87" t="s">
        <v>24</v>
      </c>
      <c r="I87" t="s">
        <v>42</v>
      </c>
      <c r="J87" s="2">
        <v>45881</v>
      </c>
      <c r="K87" s="2">
        <v>45881</v>
      </c>
      <c r="L87" t="s">
        <v>26</v>
      </c>
      <c r="M87" t="s">
        <v>27</v>
      </c>
      <c r="O87" t="s">
        <v>28</v>
      </c>
      <c r="Q87">
        <f t="shared" si="4"/>
        <v>1</v>
      </c>
      <c r="R87" s="3">
        <f t="shared" si="5"/>
        <v>4</v>
      </c>
      <c r="S87">
        <f t="shared" si="6"/>
        <v>0</v>
      </c>
      <c r="T87">
        <f t="shared" si="7"/>
        <v>0</v>
      </c>
    </row>
    <row r="88" spans="1:20" x14ac:dyDescent="0.25">
      <c r="A88" t="s">
        <v>153</v>
      </c>
      <c r="B88">
        <v>87</v>
      </c>
      <c r="C88" t="s">
        <v>78</v>
      </c>
      <c r="D88" t="s">
        <v>22</v>
      </c>
      <c r="E88" t="s">
        <v>60</v>
      </c>
      <c r="F88" s="2">
        <v>45850</v>
      </c>
      <c r="G88" s="2">
        <v>45852</v>
      </c>
      <c r="H88" t="s">
        <v>61</v>
      </c>
      <c r="I88" t="s">
        <v>54</v>
      </c>
      <c r="J88" s="2">
        <v>45855</v>
      </c>
      <c r="K88" s="2">
        <v>45857</v>
      </c>
      <c r="L88" t="s">
        <v>26</v>
      </c>
      <c r="M88" t="s">
        <v>32</v>
      </c>
      <c r="N88" t="s">
        <v>49</v>
      </c>
      <c r="O88" t="s">
        <v>28</v>
      </c>
      <c r="Q88">
        <f t="shared" si="4"/>
        <v>0</v>
      </c>
      <c r="R88" s="3">
        <f t="shared" si="5"/>
        <v>5</v>
      </c>
      <c r="S88">
        <f t="shared" si="6"/>
        <v>1</v>
      </c>
      <c r="T88">
        <f t="shared" si="7"/>
        <v>0</v>
      </c>
    </row>
    <row r="89" spans="1:20" x14ac:dyDescent="0.25">
      <c r="A89" t="s">
        <v>154</v>
      </c>
      <c r="B89">
        <v>88</v>
      </c>
      <c r="C89" t="s">
        <v>59</v>
      </c>
      <c r="D89" t="s">
        <v>30</v>
      </c>
      <c r="E89" t="s">
        <v>56</v>
      </c>
      <c r="F89" s="2">
        <v>45962</v>
      </c>
      <c r="G89" s="2">
        <v>45962</v>
      </c>
      <c r="H89" t="s">
        <v>31</v>
      </c>
      <c r="I89" t="s">
        <v>25</v>
      </c>
      <c r="J89" s="2">
        <v>45968</v>
      </c>
      <c r="K89" s="2">
        <v>45968</v>
      </c>
      <c r="L89" t="s">
        <v>26</v>
      </c>
      <c r="M89" t="s">
        <v>27</v>
      </c>
      <c r="O89" t="s">
        <v>37</v>
      </c>
      <c r="Q89">
        <f t="shared" si="4"/>
        <v>1</v>
      </c>
      <c r="R89" s="3">
        <f t="shared" si="5"/>
        <v>6</v>
      </c>
      <c r="S89">
        <f t="shared" si="6"/>
        <v>0</v>
      </c>
      <c r="T89">
        <f t="shared" si="7"/>
        <v>0</v>
      </c>
    </row>
    <row r="90" spans="1:20" x14ac:dyDescent="0.25">
      <c r="A90" t="s">
        <v>155</v>
      </c>
      <c r="B90">
        <v>89</v>
      </c>
      <c r="C90" t="s">
        <v>36</v>
      </c>
      <c r="D90" t="s">
        <v>64</v>
      </c>
      <c r="E90" t="s">
        <v>40</v>
      </c>
      <c r="F90" s="2">
        <v>46004</v>
      </c>
      <c r="G90" s="2">
        <v>46004</v>
      </c>
      <c r="H90" t="s">
        <v>31</v>
      </c>
      <c r="I90" t="s">
        <v>73</v>
      </c>
      <c r="J90" s="2">
        <v>46005</v>
      </c>
      <c r="K90" s="2">
        <v>46007</v>
      </c>
      <c r="L90" t="s">
        <v>26</v>
      </c>
      <c r="M90" t="s">
        <v>32</v>
      </c>
      <c r="N90" t="s">
        <v>75</v>
      </c>
      <c r="O90" t="s">
        <v>81</v>
      </c>
      <c r="Q90">
        <f t="shared" si="4"/>
        <v>0</v>
      </c>
      <c r="R90" s="3">
        <f t="shared" si="5"/>
        <v>1</v>
      </c>
      <c r="S90">
        <f t="shared" si="6"/>
        <v>1</v>
      </c>
      <c r="T90">
        <f t="shared" si="7"/>
        <v>0</v>
      </c>
    </row>
    <row r="91" spans="1:20" x14ac:dyDescent="0.25">
      <c r="A91" t="s">
        <v>156</v>
      </c>
      <c r="B91">
        <v>90</v>
      </c>
      <c r="C91" t="s">
        <v>78</v>
      </c>
      <c r="D91" t="s">
        <v>30</v>
      </c>
      <c r="E91" t="s">
        <v>23</v>
      </c>
      <c r="F91" s="2">
        <v>45910</v>
      </c>
      <c r="G91" s="2">
        <v>45910</v>
      </c>
      <c r="H91" t="s">
        <v>41</v>
      </c>
      <c r="I91" t="s">
        <v>85</v>
      </c>
      <c r="J91" s="2">
        <v>45911</v>
      </c>
      <c r="K91" s="2">
        <v>45911</v>
      </c>
      <c r="L91" t="s">
        <v>26</v>
      </c>
      <c r="M91" t="s">
        <v>57</v>
      </c>
      <c r="O91" t="s">
        <v>34</v>
      </c>
      <c r="Q91">
        <f t="shared" si="4"/>
        <v>1</v>
      </c>
      <c r="R91" s="3">
        <f t="shared" si="5"/>
        <v>1</v>
      </c>
      <c r="S91">
        <f t="shared" si="6"/>
        <v>0</v>
      </c>
      <c r="T91">
        <f t="shared" si="7"/>
        <v>0</v>
      </c>
    </row>
    <row r="92" spans="1:20" x14ac:dyDescent="0.25">
      <c r="A92" t="s">
        <v>157</v>
      </c>
      <c r="B92">
        <v>91</v>
      </c>
      <c r="C92" t="s">
        <v>51</v>
      </c>
      <c r="D92" t="s">
        <v>64</v>
      </c>
      <c r="E92" t="s">
        <v>53</v>
      </c>
      <c r="F92" s="2">
        <v>45965</v>
      </c>
      <c r="G92" s="2">
        <v>45966</v>
      </c>
      <c r="H92" t="s">
        <v>45</v>
      </c>
      <c r="I92" t="s">
        <v>42</v>
      </c>
      <c r="J92" s="2">
        <v>45967</v>
      </c>
      <c r="K92" s="2">
        <v>45967</v>
      </c>
      <c r="L92" t="s">
        <v>46</v>
      </c>
      <c r="M92" t="s">
        <v>57</v>
      </c>
      <c r="O92" t="s">
        <v>37</v>
      </c>
      <c r="P92" t="s">
        <v>88</v>
      </c>
      <c r="Q92">
        <f t="shared" si="4"/>
        <v>1</v>
      </c>
      <c r="R92" s="3">
        <f t="shared" si="5"/>
        <v>2</v>
      </c>
      <c r="S92">
        <f t="shared" si="6"/>
        <v>0</v>
      </c>
      <c r="T92">
        <f t="shared" si="7"/>
        <v>1</v>
      </c>
    </row>
    <row r="93" spans="1:20" x14ac:dyDescent="0.25">
      <c r="A93" t="s">
        <v>158</v>
      </c>
      <c r="B93">
        <v>92</v>
      </c>
      <c r="C93" t="s">
        <v>51</v>
      </c>
      <c r="D93" t="s">
        <v>52</v>
      </c>
      <c r="E93" t="s">
        <v>60</v>
      </c>
      <c r="F93" s="2">
        <v>46012</v>
      </c>
      <c r="G93" s="2">
        <v>46012</v>
      </c>
      <c r="H93" t="s">
        <v>61</v>
      </c>
      <c r="I93" t="s">
        <v>62</v>
      </c>
      <c r="J93" s="2">
        <v>46013</v>
      </c>
      <c r="K93" s="2">
        <v>46013</v>
      </c>
      <c r="L93" t="s">
        <v>26</v>
      </c>
      <c r="M93" t="s">
        <v>27</v>
      </c>
      <c r="O93" t="s">
        <v>37</v>
      </c>
      <c r="Q93">
        <f t="shared" si="4"/>
        <v>1</v>
      </c>
      <c r="R93" s="3">
        <f t="shared" si="5"/>
        <v>1</v>
      </c>
      <c r="S93">
        <f t="shared" si="6"/>
        <v>0</v>
      </c>
      <c r="T93">
        <f t="shared" si="7"/>
        <v>0</v>
      </c>
    </row>
    <row r="94" spans="1:20" x14ac:dyDescent="0.25">
      <c r="A94" t="s">
        <v>159</v>
      </c>
      <c r="B94">
        <v>93</v>
      </c>
      <c r="C94" t="s">
        <v>59</v>
      </c>
      <c r="D94" t="s">
        <v>64</v>
      </c>
      <c r="E94" t="s">
        <v>23</v>
      </c>
      <c r="F94" s="2">
        <v>45685</v>
      </c>
      <c r="G94" s="2">
        <v>45687</v>
      </c>
      <c r="H94" t="s">
        <v>45</v>
      </c>
      <c r="I94" t="s">
        <v>54</v>
      </c>
      <c r="J94" s="2">
        <v>45692</v>
      </c>
      <c r="K94" s="2">
        <v>45692</v>
      </c>
      <c r="L94" t="s">
        <v>26</v>
      </c>
      <c r="M94" t="s">
        <v>57</v>
      </c>
      <c r="O94" t="s">
        <v>37</v>
      </c>
      <c r="Q94">
        <f t="shared" si="4"/>
        <v>1</v>
      </c>
      <c r="R94" s="3">
        <f t="shared" si="5"/>
        <v>7</v>
      </c>
      <c r="S94">
        <f t="shared" si="6"/>
        <v>0</v>
      </c>
      <c r="T94">
        <f t="shared" si="7"/>
        <v>0</v>
      </c>
    </row>
    <row r="95" spans="1:20" x14ac:dyDescent="0.25">
      <c r="A95" t="s">
        <v>160</v>
      </c>
      <c r="B95">
        <v>94</v>
      </c>
      <c r="C95" t="s">
        <v>21</v>
      </c>
      <c r="D95" t="s">
        <v>39</v>
      </c>
      <c r="E95" t="s">
        <v>40</v>
      </c>
      <c r="F95" s="2">
        <v>45980</v>
      </c>
      <c r="G95" s="2">
        <v>45980</v>
      </c>
      <c r="H95" t="s">
        <v>61</v>
      </c>
      <c r="I95" t="s">
        <v>42</v>
      </c>
      <c r="J95" s="2">
        <v>45981</v>
      </c>
      <c r="K95" s="2">
        <v>45982</v>
      </c>
      <c r="L95" t="s">
        <v>26</v>
      </c>
      <c r="M95" t="s">
        <v>27</v>
      </c>
      <c r="O95" t="s">
        <v>81</v>
      </c>
      <c r="Q95">
        <f t="shared" si="4"/>
        <v>0</v>
      </c>
      <c r="R95" s="3">
        <f t="shared" si="5"/>
        <v>1</v>
      </c>
      <c r="S95">
        <f t="shared" si="6"/>
        <v>0</v>
      </c>
      <c r="T95">
        <f t="shared" si="7"/>
        <v>0</v>
      </c>
    </row>
    <row r="96" spans="1:20" x14ac:dyDescent="0.25">
      <c r="A96" t="s">
        <v>161</v>
      </c>
      <c r="B96">
        <v>95</v>
      </c>
      <c r="C96" t="s">
        <v>21</v>
      </c>
      <c r="D96" t="s">
        <v>22</v>
      </c>
      <c r="E96" t="s">
        <v>60</v>
      </c>
      <c r="F96" s="2">
        <v>45800</v>
      </c>
      <c r="G96" s="2">
        <v>45800</v>
      </c>
      <c r="H96" t="s">
        <v>31</v>
      </c>
      <c r="I96" t="s">
        <v>73</v>
      </c>
      <c r="J96" s="2">
        <v>45806</v>
      </c>
      <c r="K96" s="2">
        <v>45806</v>
      </c>
      <c r="L96" t="s">
        <v>26</v>
      </c>
      <c r="M96" t="s">
        <v>57</v>
      </c>
      <c r="O96" t="s">
        <v>28</v>
      </c>
      <c r="Q96">
        <f t="shared" si="4"/>
        <v>1</v>
      </c>
      <c r="R96" s="3">
        <f t="shared" si="5"/>
        <v>6</v>
      </c>
      <c r="S96">
        <f t="shared" si="6"/>
        <v>0</v>
      </c>
      <c r="T96">
        <f t="shared" si="7"/>
        <v>0</v>
      </c>
    </row>
    <row r="97" spans="1:20" x14ac:dyDescent="0.25">
      <c r="A97" t="s">
        <v>162</v>
      </c>
      <c r="B97">
        <v>96</v>
      </c>
      <c r="C97" t="s">
        <v>21</v>
      </c>
      <c r="D97" t="s">
        <v>64</v>
      </c>
      <c r="E97" t="s">
        <v>60</v>
      </c>
      <c r="F97" s="2">
        <v>45840</v>
      </c>
      <c r="G97" s="2">
        <v>45842</v>
      </c>
      <c r="H97" t="s">
        <v>45</v>
      </c>
      <c r="I97" t="s">
        <v>85</v>
      </c>
      <c r="J97" s="2">
        <v>45845</v>
      </c>
      <c r="K97" s="2">
        <v>45845</v>
      </c>
      <c r="L97" t="s">
        <v>26</v>
      </c>
      <c r="M97" t="s">
        <v>57</v>
      </c>
      <c r="O97" t="s">
        <v>37</v>
      </c>
      <c r="Q97">
        <f t="shared" si="4"/>
        <v>1</v>
      </c>
      <c r="R97" s="3">
        <f t="shared" si="5"/>
        <v>5</v>
      </c>
      <c r="S97">
        <f t="shared" si="6"/>
        <v>0</v>
      </c>
      <c r="T97">
        <f t="shared" si="7"/>
        <v>0</v>
      </c>
    </row>
    <row r="98" spans="1:20" x14ac:dyDescent="0.25">
      <c r="A98" t="s">
        <v>163</v>
      </c>
      <c r="B98">
        <v>97</v>
      </c>
      <c r="C98" t="s">
        <v>51</v>
      </c>
      <c r="D98" t="s">
        <v>52</v>
      </c>
      <c r="E98" t="s">
        <v>40</v>
      </c>
      <c r="F98" s="2">
        <v>45971</v>
      </c>
      <c r="G98" s="2">
        <v>45971</v>
      </c>
      <c r="H98" t="s">
        <v>41</v>
      </c>
      <c r="I98" t="s">
        <v>85</v>
      </c>
      <c r="J98" s="2">
        <v>45975</v>
      </c>
      <c r="K98" s="2">
        <v>45975</v>
      </c>
      <c r="L98" t="s">
        <v>26</v>
      </c>
      <c r="M98" t="s">
        <v>27</v>
      </c>
      <c r="O98" t="s">
        <v>43</v>
      </c>
      <c r="Q98">
        <f t="shared" si="4"/>
        <v>1</v>
      </c>
      <c r="R98" s="3">
        <f t="shared" si="5"/>
        <v>4</v>
      </c>
      <c r="S98">
        <f t="shared" si="6"/>
        <v>0</v>
      </c>
      <c r="T98">
        <f t="shared" si="7"/>
        <v>0</v>
      </c>
    </row>
    <row r="99" spans="1:20" x14ac:dyDescent="0.25">
      <c r="A99" t="s">
        <v>164</v>
      </c>
      <c r="B99">
        <v>98</v>
      </c>
      <c r="C99" t="s">
        <v>59</v>
      </c>
      <c r="D99" t="s">
        <v>52</v>
      </c>
      <c r="E99" t="s">
        <v>60</v>
      </c>
      <c r="F99" s="2">
        <v>45934</v>
      </c>
      <c r="G99" s="2">
        <v>45935</v>
      </c>
      <c r="H99" t="s">
        <v>45</v>
      </c>
      <c r="I99" t="s">
        <v>25</v>
      </c>
      <c r="J99" s="2">
        <v>45936</v>
      </c>
      <c r="K99" s="2">
        <v>45936</v>
      </c>
      <c r="L99" t="s">
        <v>26</v>
      </c>
      <c r="M99" t="s">
        <v>27</v>
      </c>
      <c r="O99" t="s">
        <v>43</v>
      </c>
      <c r="P99" t="s">
        <v>76</v>
      </c>
      <c r="Q99">
        <f t="shared" si="4"/>
        <v>1</v>
      </c>
      <c r="R99" s="3">
        <f t="shared" si="5"/>
        <v>2</v>
      </c>
      <c r="S99">
        <f t="shared" si="6"/>
        <v>0</v>
      </c>
      <c r="T99">
        <f t="shared" si="7"/>
        <v>0</v>
      </c>
    </row>
    <row r="100" spans="1:20" x14ac:dyDescent="0.25">
      <c r="A100" t="s">
        <v>165</v>
      </c>
      <c r="B100">
        <v>99</v>
      </c>
      <c r="C100" t="s">
        <v>59</v>
      </c>
      <c r="D100" t="s">
        <v>52</v>
      </c>
      <c r="E100" t="s">
        <v>40</v>
      </c>
      <c r="F100" s="2">
        <v>45717</v>
      </c>
      <c r="G100" s="2">
        <v>45718</v>
      </c>
      <c r="H100" t="s">
        <v>24</v>
      </c>
      <c r="I100" t="s">
        <v>85</v>
      </c>
      <c r="J100" s="2">
        <v>45722</v>
      </c>
      <c r="K100" s="2">
        <v>45722</v>
      </c>
      <c r="L100" t="s">
        <v>26</v>
      </c>
      <c r="M100" t="s">
        <v>27</v>
      </c>
      <c r="O100" t="s">
        <v>69</v>
      </c>
      <c r="Q100">
        <f t="shared" si="4"/>
        <v>1</v>
      </c>
      <c r="R100" s="3">
        <f t="shared" si="5"/>
        <v>5</v>
      </c>
      <c r="S100">
        <f t="shared" si="6"/>
        <v>0</v>
      </c>
      <c r="T100">
        <f t="shared" si="7"/>
        <v>0</v>
      </c>
    </row>
    <row r="101" spans="1:20" x14ac:dyDescent="0.25">
      <c r="A101" t="s">
        <v>166</v>
      </c>
      <c r="B101">
        <v>100</v>
      </c>
      <c r="C101" t="s">
        <v>59</v>
      </c>
      <c r="D101" t="s">
        <v>39</v>
      </c>
      <c r="E101" t="s">
        <v>23</v>
      </c>
      <c r="F101" s="2">
        <v>45916</v>
      </c>
      <c r="G101" s="2">
        <v>45916</v>
      </c>
      <c r="H101" t="s">
        <v>24</v>
      </c>
      <c r="I101" t="s">
        <v>42</v>
      </c>
      <c r="J101" s="2">
        <v>45917</v>
      </c>
      <c r="K101" s="2">
        <v>45917</v>
      </c>
      <c r="L101" t="s">
        <v>26</v>
      </c>
      <c r="M101" t="s">
        <v>57</v>
      </c>
      <c r="O101" t="s">
        <v>28</v>
      </c>
      <c r="Q101">
        <f t="shared" si="4"/>
        <v>1</v>
      </c>
      <c r="R101" s="3">
        <f t="shared" si="5"/>
        <v>1</v>
      </c>
      <c r="S101">
        <f t="shared" si="6"/>
        <v>0</v>
      </c>
      <c r="T101">
        <f t="shared" si="7"/>
        <v>0</v>
      </c>
    </row>
    <row r="102" spans="1:20" x14ac:dyDescent="0.25">
      <c r="A102" t="s">
        <v>167</v>
      </c>
      <c r="B102">
        <v>101</v>
      </c>
      <c r="C102" t="s">
        <v>36</v>
      </c>
      <c r="D102" t="s">
        <v>30</v>
      </c>
      <c r="E102" t="s">
        <v>40</v>
      </c>
      <c r="F102" s="2">
        <v>45678</v>
      </c>
      <c r="G102" s="2">
        <v>45678</v>
      </c>
      <c r="H102" t="s">
        <v>31</v>
      </c>
      <c r="I102" t="s">
        <v>62</v>
      </c>
      <c r="J102" s="2">
        <v>45681</v>
      </c>
      <c r="K102" s="2">
        <v>45681</v>
      </c>
      <c r="L102" t="s">
        <v>26</v>
      </c>
      <c r="M102" t="s">
        <v>27</v>
      </c>
      <c r="O102" t="s">
        <v>34</v>
      </c>
      <c r="Q102">
        <f t="shared" si="4"/>
        <v>1</v>
      </c>
      <c r="R102" s="3">
        <f t="shared" si="5"/>
        <v>3</v>
      </c>
      <c r="S102">
        <f t="shared" si="6"/>
        <v>0</v>
      </c>
      <c r="T102">
        <f t="shared" si="7"/>
        <v>0</v>
      </c>
    </row>
    <row r="103" spans="1:20" x14ac:dyDescent="0.25">
      <c r="A103" t="s">
        <v>168</v>
      </c>
      <c r="B103">
        <v>102</v>
      </c>
      <c r="C103" t="s">
        <v>51</v>
      </c>
      <c r="D103" t="s">
        <v>39</v>
      </c>
      <c r="E103" t="s">
        <v>40</v>
      </c>
      <c r="F103" s="2">
        <v>45831</v>
      </c>
      <c r="G103" s="2">
        <v>45833</v>
      </c>
      <c r="H103" t="s">
        <v>61</v>
      </c>
      <c r="I103" t="s">
        <v>85</v>
      </c>
      <c r="J103" s="2">
        <v>45839</v>
      </c>
      <c r="K103" s="2">
        <v>45839</v>
      </c>
      <c r="L103" t="s">
        <v>26</v>
      </c>
      <c r="M103" t="s">
        <v>57</v>
      </c>
      <c r="O103" t="s">
        <v>34</v>
      </c>
      <c r="P103" t="s">
        <v>71</v>
      </c>
      <c r="Q103">
        <f t="shared" si="4"/>
        <v>1</v>
      </c>
      <c r="R103" s="3">
        <f t="shared" si="5"/>
        <v>8</v>
      </c>
      <c r="S103">
        <f t="shared" si="6"/>
        <v>0</v>
      </c>
      <c r="T103">
        <f t="shared" si="7"/>
        <v>0</v>
      </c>
    </row>
    <row r="104" spans="1:20" x14ac:dyDescent="0.25">
      <c r="A104" t="s">
        <v>169</v>
      </c>
      <c r="B104">
        <v>103</v>
      </c>
      <c r="C104" t="s">
        <v>21</v>
      </c>
      <c r="D104" t="s">
        <v>64</v>
      </c>
      <c r="E104" t="s">
        <v>53</v>
      </c>
      <c r="F104" s="2">
        <v>45966</v>
      </c>
      <c r="G104" s="2">
        <v>45967</v>
      </c>
      <c r="H104" t="s">
        <v>24</v>
      </c>
      <c r="I104" t="s">
        <v>85</v>
      </c>
      <c r="J104" s="2">
        <v>45969</v>
      </c>
      <c r="K104" s="2">
        <v>45969</v>
      </c>
      <c r="L104" t="s">
        <v>46</v>
      </c>
      <c r="M104" t="s">
        <v>27</v>
      </c>
      <c r="O104" t="s">
        <v>37</v>
      </c>
      <c r="Q104">
        <f t="shared" si="4"/>
        <v>1</v>
      </c>
      <c r="R104" s="3">
        <f t="shared" si="5"/>
        <v>3</v>
      </c>
      <c r="S104">
        <f t="shared" si="6"/>
        <v>0</v>
      </c>
      <c r="T104">
        <f t="shared" si="7"/>
        <v>1</v>
      </c>
    </row>
    <row r="105" spans="1:20" x14ac:dyDescent="0.25">
      <c r="A105" t="s">
        <v>170</v>
      </c>
      <c r="B105">
        <v>104</v>
      </c>
      <c r="C105" t="s">
        <v>21</v>
      </c>
      <c r="D105" t="s">
        <v>30</v>
      </c>
      <c r="E105" t="s">
        <v>53</v>
      </c>
      <c r="F105" s="2">
        <v>45858</v>
      </c>
      <c r="G105" s="2">
        <v>45860</v>
      </c>
      <c r="H105" t="s">
        <v>45</v>
      </c>
      <c r="I105" t="s">
        <v>62</v>
      </c>
      <c r="J105" s="2">
        <v>45862</v>
      </c>
      <c r="K105" s="2">
        <v>45866</v>
      </c>
      <c r="L105" t="s">
        <v>46</v>
      </c>
      <c r="M105" t="s">
        <v>32</v>
      </c>
      <c r="N105" t="s">
        <v>47</v>
      </c>
      <c r="O105" t="s">
        <v>37</v>
      </c>
      <c r="P105" t="s">
        <v>88</v>
      </c>
      <c r="Q105">
        <f t="shared" si="4"/>
        <v>0</v>
      </c>
      <c r="R105" s="3">
        <f t="shared" si="5"/>
        <v>4</v>
      </c>
      <c r="S105">
        <f t="shared" si="6"/>
        <v>1</v>
      </c>
      <c r="T105">
        <f t="shared" si="7"/>
        <v>1</v>
      </c>
    </row>
    <row r="106" spans="1:20" x14ac:dyDescent="0.25">
      <c r="A106" t="s">
        <v>171</v>
      </c>
      <c r="B106">
        <v>105</v>
      </c>
      <c r="C106" t="s">
        <v>36</v>
      </c>
      <c r="D106" t="s">
        <v>64</v>
      </c>
      <c r="E106" t="s">
        <v>56</v>
      </c>
      <c r="F106" s="2">
        <v>45914</v>
      </c>
      <c r="G106" s="2">
        <v>45915</v>
      </c>
      <c r="H106" t="s">
        <v>41</v>
      </c>
      <c r="I106" t="s">
        <v>83</v>
      </c>
      <c r="J106" s="2">
        <v>45916</v>
      </c>
      <c r="K106" s="2">
        <v>45916</v>
      </c>
      <c r="L106" t="s">
        <v>26</v>
      </c>
      <c r="M106" t="s">
        <v>57</v>
      </c>
      <c r="O106" t="s">
        <v>28</v>
      </c>
      <c r="Q106">
        <f t="shared" si="4"/>
        <v>1</v>
      </c>
      <c r="R106" s="3">
        <f t="shared" si="5"/>
        <v>2</v>
      </c>
      <c r="S106">
        <f t="shared" si="6"/>
        <v>0</v>
      </c>
      <c r="T106">
        <f t="shared" si="7"/>
        <v>0</v>
      </c>
    </row>
    <row r="107" spans="1:20" x14ac:dyDescent="0.25">
      <c r="A107" t="s">
        <v>172</v>
      </c>
      <c r="B107">
        <v>106</v>
      </c>
      <c r="C107" t="s">
        <v>78</v>
      </c>
      <c r="D107" t="s">
        <v>39</v>
      </c>
      <c r="E107" t="s">
        <v>56</v>
      </c>
      <c r="F107" s="2">
        <v>45945</v>
      </c>
      <c r="G107" s="2">
        <v>45945</v>
      </c>
      <c r="H107" t="s">
        <v>31</v>
      </c>
      <c r="I107" t="s">
        <v>25</v>
      </c>
      <c r="J107" s="2">
        <v>45949</v>
      </c>
      <c r="K107" s="2">
        <v>45949</v>
      </c>
      <c r="L107" t="s">
        <v>26</v>
      </c>
      <c r="M107" t="s">
        <v>27</v>
      </c>
      <c r="O107" t="s">
        <v>37</v>
      </c>
      <c r="P107" t="s">
        <v>71</v>
      </c>
      <c r="Q107">
        <f t="shared" si="4"/>
        <v>1</v>
      </c>
      <c r="R107" s="3">
        <f t="shared" si="5"/>
        <v>4</v>
      </c>
      <c r="S107">
        <f t="shared" si="6"/>
        <v>0</v>
      </c>
      <c r="T107">
        <f t="shared" si="7"/>
        <v>0</v>
      </c>
    </row>
    <row r="108" spans="1:20" x14ac:dyDescent="0.25">
      <c r="A108" t="s">
        <v>173</v>
      </c>
      <c r="B108">
        <v>107</v>
      </c>
      <c r="C108" t="s">
        <v>36</v>
      </c>
      <c r="D108" t="s">
        <v>64</v>
      </c>
      <c r="E108" t="s">
        <v>53</v>
      </c>
      <c r="F108" s="2">
        <v>45983</v>
      </c>
      <c r="G108" s="2">
        <v>45983</v>
      </c>
      <c r="H108" t="s">
        <v>45</v>
      </c>
      <c r="I108" t="s">
        <v>54</v>
      </c>
      <c r="J108" s="2">
        <v>45988</v>
      </c>
      <c r="K108" s="2">
        <v>45988</v>
      </c>
      <c r="L108" t="s">
        <v>26</v>
      </c>
      <c r="M108" t="s">
        <v>27</v>
      </c>
      <c r="O108" t="s">
        <v>81</v>
      </c>
      <c r="Q108">
        <f t="shared" si="4"/>
        <v>1</v>
      </c>
      <c r="R108" s="3">
        <f t="shared" si="5"/>
        <v>5</v>
      </c>
      <c r="S108">
        <f t="shared" si="6"/>
        <v>0</v>
      </c>
      <c r="T108">
        <f t="shared" si="7"/>
        <v>0</v>
      </c>
    </row>
    <row r="109" spans="1:20" x14ac:dyDescent="0.25">
      <c r="A109" t="s">
        <v>174</v>
      </c>
      <c r="B109">
        <v>108</v>
      </c>
      <c r="C109" t="s">
        <v>78</v>
      </c>
      <c r="D109" t="s">
        <v>64</v>
      </c>
      <c r="E109" t="s">
        <v>56</v>
      </c>
      <c r="F109" s="2">
        <v>45950</v>
      </c>
      <c r="G109" s="2">
        <v>45951</v>
      </c>
      <c r="H109" t="s">
        <v>41</v>
      </c>
      <c r="I109" t="s">
        <v>83</v>
      </c>
      <c r="J109" s="2">
        <v>45953</v>
      </c>
      <c r="K109" s="2">
        <v>45953</v>
      </c>
      <c r="L109" t="s">
        <v>26</v>
      </c>
      <c r="M109" t="s">
        <v>27</v>
      </c>
      <c r="O109" t="s">
        <v>28</v>
      </c>
      <c r="P109" t="s">
        <v>88</v>
      </c>
      <c r="Q109">
        <f t="shared" si="4"/>
        <v>1</v>
      </c>
      <c r="R109" s="3">
        <f t="shared" si="5"/>
        <v>3</v>
      </c>
      <c r="S109">
        <f t="shared" si="6"/>
        <v>0</v>
      </c>
      <c r="T109">
        <f t="shared" si="7"/>
        <v>0</v>
      </c>
    </row>
    <row r="110" spans="1:20" x14ac:dyDescent="0.25">
      <c r="A110" t="s">
        <v>175</v>
      </c>
      <c r="B110">
        <v>109</v>
      </c>
      <c r="C110" t="s">
        <v>59</v>
      </c>
      <c r="D110" t="s">
        <v>30</v>
      </c>
      <c r="E110" t="s">
        <v>23</v>
      </c>
      <c r="F110" s="2">
        <v>45661</v>
      </c>
      <c r="G110" s="2">
        <v>45663</v>
      </c>
      <c r="H110" t="s">
        <v>24</v>
      </c>
      <c r="I110" t="s">
        <v>25</v>
      </c>
      <c r="J110" s="2">
        <v>45665</v>
      </c>
      <c r="K110" s="2">
        <v>45665</v>
      </c>
      <c r="L110" t="s">
        <v>26</v>
      </c>
      <c r="M110" t="s">
        <v>57</v>
      </c>
      <c r="O110" t="s">
        <v>43</v>
      </c>
      <c r="Q110">
        <f t="shared" si="4"/>
        <v>1</v>
      </c>
      <c r="R110" s="3">
        <f t="shared" si="5"/>
        <v>4</v>
      </c>
      <c r="S110">
        <f t="shared" si="6"/>
        <v>0</v>
      </c>
      <c r="T110">
        <f t="shared" si="7"/>
        <v>0</v>
      </c>
    </row>
    <row r="111" spans="1:20" x14ac:dyDescent="0.25">
      <c r="A111" t="s">
        <v>176</v>
      </c>
      <c r="B111">
        <v>110</v>
      </c>
      <c r="C111" t="s">
        <v>78</v>
      </c>
      <c r="D111" t="s">
        <v>64</v>
      </c>
      <c r="E111" t="s">
        <v>53</v>
      </c>
      <c r="F111" s="2">
        <v>45833</v>
      </c>
      <c r="G111" s="2">
        <v>45833</v>
      </c>
      <c r="H111" t="s">
        <v>41</v>
      </c>
      <c r="I111" t="s">
        <v>54</v>
      </c>
      <c r="J111" s="2">
        <v>45835</v>
      </c>
      <c r="K111" s="2">
        <v>45839</v>
      </c>
      <c r="L111" t="s">
        <v>26</v>
      </c>
      <c r="M111" t="s">
        <v>32</v>
      </c>
      <c r="N111" t="s">
        <v>67</v>
      </c>
      <c r="O111" t="s">
        <v>28</v>
      </c>
      <c r="Q111">
        <f t="shared" si="4"/>
        <v>0</v>
      </c>
      <c r="R111" s="3">
        <f t="shared" si="5"/>
        <v>2</v>
      </c>
      <c r="S111">
        <f t="shared" si="6"/>
        <v>1</v>
      </c>
      <c r="T111">
        <f t="shared" si="7"/>
        <v>0</v>
      </c>
    </row>
    <row r="112" spans="1:20" x14ac:dyDescent="0.25">
      <c r="A112" t="s">
        <v>177</v>
      </c>
      <c r="B112">
        <v>111</v>
      </c>
      <c r="C112" t="s">
        <v>59</v>
      </c>
      <c r="D112" t="s">
        <v>52</v>
      </c>
      <c r="E112" t="s">
        <v>60</v>
      </c>
      <c r="F112" s="2">
        <v>45857</v>
      </c>
      <c r="G112" s="2">
        <v>45858</v>
      </c>
      <c r="H112" t="s">
        <v>41</v>
      </c>
      <c r="I112" t="s">
        <v>54</v>
      </c>
      <c r="J112" s="2">
        <v>45861</v>
      </c>
      <c r="K112" s="2">
        <v>45861</v>
      </c>
      <c r="L112" t="s">
        <v>26</v>
      </c>
      <c r="M112" t="s">
        <v>27</v>
      </c>
      <c r="O112" t="s">
        <v>81</v>
      </c>
      <c r="Q112">
        <f t="shared" si="4"/>
        <v>1</v>
      </c>
      <c r="R112" s="3">
        <f t="shared" si="5"/>
        <v>4</v>
      </c>
      <c r="S112">
        <f t="shared" si="6"/>
        <v>0</v>
      </c>
      <c r="T112">
        <f t="shared" si="7"/>
        <v>0</v>
      </c>
    </row>
    <row r="113" spans="1:20" x14ac:dyDescent="0.25">
      <c r="A113" t="s">
        <v>178</v>
      </c>
      <c r="B113">
        <v>112</v>
      </c>
      <c r="C113" t="s">
        <v>36</v>
      </c>
      <c r="D113" t="s">
        <v>22</v>
      </c>
      <c r="E113" t="s">
        <v>56</v>
      </c>
      <c r="F113" s="2">
        <v>45675</v>
      </c>
      <c r="G113" s="2">
        <v>45677</v>
      </c>
      <c r="H113" t="s">
        <v>24</v>
      </c>
      <c r="I113" t="s">
        <v>85</v>
      </c>
      <c r="J113" s="2">
        <v>45679</v>
      </c>
      <c r="K113" s="2">
        <v>45679</v>
      </c>
      <c r="L113" t="s">
        <v>46</v>
      </c>
      <c r="M113" t="s">
        <v>57</v>
      </c>
      <c r="O113" t="s">
        <v>69</v>
      </c>
      <c r="Q113">
        <f t="shared" si="4"/>
        <v>1</v>
      </c>
      <c r="R113" s="3">
        <f t="shared" si="5"/>
        <v>4</v>
      </c>
      <c r="S113">
        <f t="shared" si="6"/>
        <v>0</v>
      </c>
      <c r="T113">
        <f t="shared" si="7"/>
        <v>1</v>
      </c>
    </row>
    <row r="114" spans="1:20" x14ac:dyDescent="0.25">
      <c r="A114" t="s">
        <v>179</v>
      </c>
      <c r="B114">
        <v>113</v>
      </c>
      <c r="C114" t="s">
        <v>78</v>
      </c>
      <c r="D114" t="s">
        <v>30</v>
      </c>
      <c r="E114" t="s">
        <v>23</v>
      </c>
      <c r="F114" s="2">
        <v>45882</v>
      </c>
      <c r="G114" s="2">
        <v>45884</v>
      </c>
      <c r="H114" t="s">
        <v>24</v>
      </c>
      <c r="I114" t="s">
        <v>42</v>
      </c>
      <c r="J114" s="2">
        <v>45888</v>
      </c>
      <c r="K114" s="2">
        <v>45888</v>
      </c>
      <c r="L114" t="s">
        <v>26</v>
      </c>
      <c r="M114" t="s">
        <v>57</v>
      </c>
      <c r="O114" t="s">
        <v>81</v>
      </c>
      <c r="Q114">
        <f t="shared" si="4"/>
        <v>1</v>
      </c>
      <c r="R114" s="3">
        <f t="shared" si="5"/>
        <v>6</v>
      </c>
      <c r="S114">
        <f t="shared" si="6"/>
        <v>0</v>
      </c>
      <c r="T114">
        <f t="shared" si="7"/>
        <v>0</v>
      </c>
    </row>
    <row r="115" spans="1:20" x14ac:dyDescent="0.25">
      <c r="A115" t="s">
        <v>180</v>
      </c>
      <c r="B115">
        <v>114</v>
      </c>
      <c r="C115" t="s">
        <v>78</v>
      </c>
      <c r="D115" t="s">
        <v>22</v>
      </c>
      <c r="E115" t="s">
        <v>23</v>
      </c>
      <c r="F115" s="2">
        <v>45922</v>
      </c>
      <c r="G115" s="2">
        <v>45923</v>
      </c>
      <c r="H115" t="s">
        <v>31</v>
      </c>
      <c r="I115" t="s">
        <v>42</v>
      </c>
      <c r="J115" s="2">
        <v>45926</v>
      </c>
      <c r="K115" s="2">
        <v>45926</v>
      </c>
      <c r="L115" t="s">
        <v>26</v>
      </c>
      <c r="M115" t="s">
        <v>57</v>
      </c>
      <c r="O115" t="s">
        <v>81</v>
      </c>
      <c r="Q115">
        <f t="shared" si="4"/>
        <v>1</v>
      </c>
      <c r="R115" s="3">
        <f t="shared" si="5"/>
        <v>4</v>
      </c>
      <c r="S115">
        <f t="shared" si="6"/>
        <v>0</v>
      </c>
      <c r="T115">
        <f t="shared" si="7"/>
        <v>0</v>
      </c>
    </row>
    <row r="116" spans="1:20" x14ac:dyDescent="0.25">
      <c r="A116" t="s">
        <v>181</v>
      </c>
      <c r="B116">
        <v>115</v>
      </c>
      <c r="C116" t="s">
        <v>36</v>
      </c>
      <c r="D116" t="s">
        <v>39</v>
      </c>
      <c r="E116" t="s">
        <v>60</v>
      </c>
      <c r="F116" s="2">
        <v>45964</v>
      </c>
      <c r="G116" s="2">
        <v>45966</v>
      </c>
      <c r="H116" t="s">
        <v>61</v>
      </c>
      <c r="I116" t="s">
        <v>85</v>
      </c>
      <c r="J116" s="2">
        <v>45967</v>
      </c>
      <c r="K116" s="2">
        <v>45967</v>
      </c>
      <c r="L116" t="s">
        <v>26</v>
      </c>
      <c r="M116" t="s">
        <v>27</v>
      </c>
      <c r="O116" t="s">
        <v>34</v>
      </c>
      <c r="Q116">
        <f t="shared" si="4"/>
        <v>1</v>
      </c>
      <c r="R116" s="3">
        <f t="shared" si="5"/>
        <v>3</v>
      </c>
      <c r="S116">
        <f t="shared" si="6"/>
        <v>0</v>
      </c>
      <c r="T116">
        <f t="shared" si="7"/>
        <v>0</v>
      </c>
    </row>
    <row r="117" spans="1:20" x14ac:dyDescent="0.25">
      <c r="A117" t="s">
        <v>182</v>
      </c>
      <c r="B117">
        <v>116</v>
      </c>
      <c r="C117" t="s">
        <v>78</v>
      </c>
      <c r="D117" t="s">
        <v>64</v>
      </c>
      <c r="E117" t="s">
        <v>60</v>
      </c>
      <c r="F117" s="2">
        <v>46011</v>
      </c>
      <c r="G117" s="2">
        <v>46013</v>
      </c>
      <c r="H117" t="s">
        <v>41</v>
      </c>
      <c r="I117" t="s">
        <v>73</v>
      </c>
      <c r="J117" s="2">
        <v>46019</v>
      </c>
      <c r="K117" s="2">
        <v>46019</v>
      </c>
      <c r="L117" t="s">
        <v>26</v>
      </c>
      <c r="M117" t="s">
        <v>57</v>
      </c>
      <c r="O117" t="s">
        <v>81</v>
      </c>
      <c r="Q117">
        <f t="shared" si="4"/>
        <v>1</v>
      </c>
      <c r="R117" s="3">
        <f t="shared" si="5"/>
        <v>8</v>
      </c>
      <c r="S117">
        <f t="shared" si="6"/>
        <v>0</v>
      </c>
      <c r="T117">
        <f t="shared" si="7"/>
        <v>0</v>
      </c>
    </row>
    <row r="118" spans="1:20" x14ac:dyDescent="0.25">
      <c r="A118" t="s">
        <v>183</v>
      </c>
      <c r="B118">
        <v>117</v>
      </c>
      <c r="C118" t="s">
        <v>59</v>
      </c>
      <c r="D118" t="s">
        <v>64</v>
      </c>
      <c r="E118" t="s">
        <v>23</v>
      </c>
      <c r="F118" s="2">
        <v>45702</v>
      </c>
      <c r="G118" s="2">
        <v>45702</v>
      </c>
      <c r="H118" t="s">
        <v>41</v>
      </c>
      <c r="I118" t="s">
        <v>54</v>
      </c>
      <c r="J118" s="2">
        <v>45707</v>
      </c>
      <c r="K118" s="2">
        <v>45707</v>
      </c>
      <c r="L118" t="s">
        <v>26</v>
      </c>
      <c r="M118" t="s">
        <v>27</v>
      </c>
      <c r="O118" t="s">
        <v>81</v>
      </c>
      <c r="P118" t="s">
        <v>76</v>
      </c>
      <c r="Q118">
        <f t="shared" si="4"/>
        <v>1</v>
      </c>
      <c r="R118" s="3">
        <f t="shared" si="5"/>
        <v>5</v>
      </c>
      <c r="S118">
        <f t="shared" si="6"/>
        <v>0</v>
      </c>
      <c r="T118">
        <f t="shared" si="7"/>
        <v>0</v>
      </c>
    </row>
    <row r="119" spans="1:20" x14ac:dyDescent="0.25">
      <c r="A119" t="s">
        <v>184</v>
      </c>
      <c r="B119">
        <v>118</v>
      </c>
      <c r="C119" t="s">
        <v>21</v>
      </c>
      <c r="D119" t="s">
        <v>39</v>
      </c>
      <c r="E119" t="s">
        <v>53</v>
      </c>
      <c r="F119" s="2">
        <v>45753</v>
      </c>
      <c r="G119" s="2">
        <v>45754</v>
      </c>
      <c r="H119" t="s">
        <v>41</v>
      </c>
      <c r="I119" t="s">
        <v>54</v>
      </c>
      <c r="J119" s="2">
        <v>45758</v>
      </c>
      <c r="K119" s="2">
        <v>45761</v>
      </c>
      <c r="L119" t="s">
        <v>26</v>
      </c>
      <c r="M119" t="s">
        <v>32</v>
      </c>
      <c r="N119" t="s">
        <v>33</v>
      </c>
      <c r="O119" t="s">
        <v>37</v>
      </c>
      <c r="Q119">
        <f t="shared" si="4"/>
        <v>0</v>
      </c>
      <c r="R119" s="3">
        <f t="shared" si="5"/>
        <v>5</v>
      </c>
      <c r="S119">
        <f t="shared" si="6"/>
        <v>1</v>
      </c>
      <c r="T119">
        <f t="shared" si="7"/>
        <v>0</v>
      </c>
    </row>
    <row r="120" spans="1:20" x14ac:dyDescent="0.25">
      <c r="A120" t="s">
        <v>185</v>
      </c>
      <c r="B120">
        <v>119</v>
      </c>
      <c r="C120" t="s">
        <v>59</v>
      </c>
      <c r="D120" t="s">
        <v>30</v>
      </c>
      <c r="E120" t="s">
        <v>56</v>
      </c>
      <c r="F120" s="2">
        <v>45924</v>
      </c>
      <c r="G120" s="2">
        <v>45925</v>
      </c>
      <c r="H120" t="s">
        <v>61</v>
      </c>
      <c r="I120" t="s">
        <v>83</v>
      </c>
      <c r="J120" s="2">
        <v>45931</v>
      </c>
      <c r="K120" s="2">
        <v>45931</v>
      </c>
      <c r="L120" t="s">
        <v>46</v>
      </c>
      <c r="M120" t="s">
        <v>27</v>
      </c>
      <c r="O120" t="s">
        <v>81</v>
      </c>
      <c r="Q120">
        <f t="shared" si="4"/>
        <v>1</v>
      </c>
      <c r="R120" s="3">
        <f t="shared" si="5"/>
        <v>7</v>
      </c>
      <c r="S120">
        <f t="shared" si="6"/>
        <v>0</v>
      </c>
      <c r="T120">
        <f t="shared" si="7"/>
        <v>1</v>
      </c>
    </row>
    <row r="121" spans="1:20" x14ac:dyDescent="0.25">
      <c r="A121" t="s">
        <v>186</v>
      </c>
      <c r="B121">
        <v>120</v>
      </c>
      <c r="C121" t="s">
        <v>59</v>
      </c>
      <c r="D121" t="s">
        <v>52</v>
      </c>
      <c r="E121" t="s">
        <v>53</v>
      </c>
      <c r="F121" s="2">
        <v>45732</v>
      </c>
      <c r="G121" s="2">
        <v>45734</v>
      </c>
      <c r="H121" t="s">
        <v>41</v>
      </c>
      <c r="I121" t="s">
        <v>42</v>
      </c>
      <c r="J121" s="2">
        <v>45738</v>
      </c>
      <c r="K121" s="2">
        <v>45741</v>
      </c>
      <c r="L121" t="s">
        <v>26</v>
      </c>
      <c r="M121" t="s">
        <v>32</v>
      </c>
      <c r="N121" t="s">
        <v>49</v>
      </c>
      <c r="O121" t="s">
        <v>69</v>
      </c>
      <c r="Q121">
        <f t="shared" si="4"/>
        <v>0</v>
      </c>
      <c r="R121" s="3">
        <f t="shared" si="5"/>
        <v>6</v>
      </c>
      <c r="S121">
        <f t="shared" si="6"/>
        <v>1</v>
      </c>
      <c r="T121">
        <f t="shared" si="7"/>
        <v>0</v>
      </c>
    </row>
    <row r="122" spans="1:20" x14ac:dyDescent="0.25">
      <c r="A122" t="s">
        <v>187</v>
      </c>
      <c r="B122">
        <v>121</v>
      </c>
      <c r="C122" t="s">
        <v>36</v>
      </c>
      <c r="D122" t="s">
        <v>52</v>
      </c>
      <c r="E122" t="s">
        <v>23</v>
      </c>
      <c r="F122" s="2">
        <v>45758</v>
      </c>
      <c r="G122" s="2">
        <v>45760</v>
      </c>
      <c r="H122" t="s">
        <v>24</v>
      </c>
      <c r="I122" t="s">
        <v>62</v>
      </c>
      <c r="J122" s="2">
        <v>45764</v>
      </c>
      <c r="K122" s="2">
        <v>45764</v>
      </c>
      <c r="L122" t="s">
        <v>26</v>
      </c>
      <c r="M122" t="s">
        <v>27</v>
      </c>
      <c r="O122" t="s">
        <v>43</v>
      </c>
      <c r="P122" t="s">
        <v>76</v>
      </c>
      <c r="Q122">
        <f t="shared" si="4"/>
        <v>1</v>
      </c>
      <c r="R122" s="3">
        <f t="shared" si="5"/>
        <v>6</v>
      </c>
      <c r="S122">
        <f t="shared" si="6"/>
        <v>0</v>
      </c>
      <c r="T122">
        <f t="shared" si="7"/>
        <v>0</v>
      </c>
    </row>
    <row r="123" spans="1:20" x14ac:dyDescent="0.25">
      <c r="A123" t="s">
        <v>188</v>
      </c>
      <c r="B123">
        <v>122</v>
      </c>
      <c r="C123" t="s">
        <v>51</v>
      </c>
      <c r="D123" t="s">
        <v>30</v>
      </c>
      <c r="E123" t="s">
        <v>23</v>
      </c>
      <c r="F123" s="2">
        <v>45882</v>
      </c>
      <c r="G123" s="2">
        <v>45884</v>
      </c>
      <c r="H123" t="s">
        <v>41</v>
      </c>
      <c r="I123" t="s">
        <v>42</v>
      </c>
      <c r="J123" s="2">
        <v>45890</v>
      </c>
      <c r="K123" s="2">
        <v>45892</v>
      </c>
      <c r="L123" t="s">
        <v>26</v>
      </c>
      <c r="M123" t="s">
        <v>32</v>
      </c>
      <c r="N123" t="s">
        <v>67</v>
      </c>
      <c r="O123" t="s">
        <v>28</v>
      </c>
      <c r="Q123">
        <f t="shared" si="4"/>
        <v>0</v>
      </c>
      <c r="R123" s="3">
        <f t="shared" si="5"/>
        <v>8</v>
      </c>
      <c r="S123">
        <f t="shared" si="6"/>
        <v>1</v>
      </c>
      <c r="T123">
        <f t="shared" si="7"/>
        <v>0</v>
      </c>
    </row>
    <row r="124" spans="1:20" x14ac:dyDescent="0.25">
      <c r="A124" t="s">
        <v>189</v>
      </c>
      <c r="B124">
        <v>123</v>
      </c>
      <c r="C124" t="s">
        <v>21</v>
      </c>
      <c r="D124" t="s">
        <v>22</v>
      </c>
      <c r="E124" t="s">
        <v>40</v>
      </c>
      <c r="F124" s="2">
        <v>45742</v>
      </c>
      <c r="G124" s="2">
        <v>45744</v>
      </c>
      <c r="H124" t="s">
        <v>45</v>
      </c>
      <c r="I124" t="s">
        <v>62</v>
      </c>
      <c r="J124" s="2">
        <v>45746</v>
      </c>
      <c r="K124" s="2">
        <v>45746</v>
      </c>
      <c r="L124" t="s">
        <v>26</v>
      </c>
      <c r="M124" t="s">
        <v>57</v>
      </c>
      <c r="O124" t="s">
        <v>28</v>
      </c>
      <c r="Q124">
        <f t="shared" si="4"/>
        <v>1</v>
      </c>
      <c r="R124" s="3">
        <f t="shared" si="5"/>
        <v>4</v>
      </c>
      <c r="S124">
        <f t="shared" si="6"/>
        <v>0</v>
      </c>
      <c r="T124">
        <f t="shared" si="7"/>
        <v>0</v>
      </c>
    </row>
    <row r="125" spans="1:20" x14ac:dyDescent="0.25">
      <c r="A125" t="s">
        <v>190</v>
      </c>
      <c r="B125">
        <v>124</v>
      </c>
      <c r="C125" t="s">
        <v>51</v>
      </c>
      <c r="D125" t="s">
        <v>30</v>
      </c>
      <c r="E125" t="s">
        <v>60</v>
      </c>
      <c r="F125" s="2">
        <v>45989</v>
      </c>
      <c r="G125" s="2">
        <v>45989</v>
      </c>
      <c r="H125" t="s">
        <v>24</v>
      </c>
      <c r="I125" t="s">
        <v>25</v>
      </c>
      <c r="J125" s="2">
        <v>45990</v>
      </c>
      <c r="K125" s="2">
        <v>45990</v>
      </c>
      <c r="L125" t="s">
        <v>26</v>
      </c>
      <c r="M125" t="s">
        <v>57</v>
      </c>
      <c r="O125" t="s">
        <v>37</v>
      </c>
      <c r="Q125">
        <f t="shared" si="4"/>
        <v>1</v>
      </c>
      <c r="R125" s="3">
        <f t="shared" si="5"/>
        <v>1</v>
      </c>
      <c r="S125">
        <f t="shared" si="6"/>
        <v>0</v>
      </c>
      <c r="T125">
        <f t="shared" si="7"/>
        <v>0</v>
      </c>
    </row>
    <row r="126" spans="1:20" x14ac:dyDescent="0.25">
      <c r="A126" t="s">
        <v>191</v>
      </c>
      <c r="B126">
        <v>125</v>
      </c>
      <c r="C126" t="s">
        <v>59</v>
      </c>
      <c r="D126" t="s">
        <v>52</v>
      </c>
      <c r="E126" t="s">
        <v>40</v>
      </c>
      <c r="F126" s="2">
        <v>45980</v>
      </c>
      <c r="G126" s="2">
        <v>45982</v>
      </c>
      <c r="H126" t="s">
        <v>45</v>
      </c>
      <c r="I126" t="s">
        <v>85</v>
      </c>
      <c r="J126" s="2">
        <v>45987</v>
      </c>
      <c r="K126" s="2">
        <v>45987</v>
      </c>
      <c r="L126" t="s">
        <v>46</v>
      </c>
      <c r="M126" t="s">
        <v>57</v>
      </c>
      <c r="O126" t="s">
        <v>28</v>
      </c>
      <c r="Q126">
        <f t="shared" si="4"/>
        <v>1</v>
      </c>
      <c r="R126" s="3">
        <f t="shared" si="5"/>
        <v>7</v>
      </c>
      <c r="S126">
        <f t="shared" si="6"/>
        <v>0</v>
      </c>
      <c r="T126">
        <f t="shared" si="7"/>
        <v>1</v>
      </c>
    </row>
    <row r="127" spans="1:20" x14ac:dyDescent="0.25">
      <c r="A127" t="s">
        <v>192</v>
      </c>
      <c r="B127">
        <v>126</v>
      </c>
      <c r="C127" t="s">
        <v>21</v>
      </c>
      <c r="D127" t="s">
        <v>22</v>
      </c>
      <c r="E127" t="s">
        <v>40</v>
      </c>
      <c r="F127" s="2">
        <v>45658</v>
      </c>
      <c r="G127" s="2">
        <v>45660</v>
      </c>
      <c r="H127" t="s">
        <v>45</v>
      </c>
      <c r="I127" t="s">
        <v>83</v>
      </c>
      <c r="J127" s="2">
        <v>45662</v>
      </c>
      <c r="K127" s="2">
        <v>45662</v>
      </c>
      <c r="L127" t="s">
        <v>26</v>
      </c>
      <c r="M127" t="s">
        <v>27</v>
      </c>
      <c r="O127" t="s">
        <v>37</v>
      </c>
      <c r="Q127">
        <f t="shared" si="4"/>
        <v>1</v>
      </c>
      <c r="R127" s="3">
        <f t="shared" si="5"/>
        <v>4</v>
      </c>
      <c r="S127">
        <f t="shared" si="6"/>
        <v>0</v>
      </c>
      <c r="T127">
        <f t="shared" si="7"/>
        <v>0</v>
      </c>
    </row>
    <row r="128" spans="1:20" x14ac:dyDescent="0.25">
      <c r="A128" t="s">
        <v>193</v>
      </c>
      <c r="B128">
        <v>127</v>
      </c>
      <c r="C128" t="s">
        <v>59</v>
      </c>
      <c r="D128" t="s">
        <v>22</v>
      </c>
      <c r="E128" t="s">
        <v>60</v>
      </c>
      <c r="F128" s="2">
        <v>45891</v>
      </c>
      <c r="G128" s="2">
        <v>45891</v>
      </c>
      <c r="H128" t="s">
        <v>41</v>
      </c>
      <c r="I128" t="s">
        <v>83</v>
      </c>
      <c r="J128" s="2">
        <v>45892</v>
      </c>
      <c r="K128" s="2">
        <v>45892</v>
      </c>
      <c r="L128" t="s">
        <v>26</v>
      </c>
      <c r="M128" t="s">
        <v>27</v>
      </c>
      <c r="O128" t="s">
        <v>43</v>
      </c>
      <c r="P128" t="s">
        <v>88</v>
      </c>
      <c r="Q128">
        <f t="shared" si="4"/>
        <v>1</v>
      </c>
      <c r="R128" s="3">
        <f t="shared" si="5"/>
        <v>1</v>
      </c>
      <c r="S128">
        <f t="shared" si="6"/>
        <v>0</v>
      </c>
      <c r="T128">
        <f t="shared" si="7"/>
        <v>0</v>
      </c>
    </row>
    <row r="129" spans="1:20" x14ac:dyDescent="0.25">
      <c r="A129" t="s">
        <v>194</v>
      </c>
      <c r="B129">
        <v>128</v>
      </c>
      <c r="C129" t="s">
        <v>59</v>
      </c>
      <c r="D129" t="s">
        <v>30</v>
      </c>
      <c r="E129" t="s">
        <v>40</v>
      </c>
      <c r="F129" s="2">
        <v>45986</v>
      </c>
      <c r="G129" s="2">
        <v>45988</v>
      </c>
      <c r="H129" t="s">
        <v>41</v>
      </c>
      <c r="I129" t="s">
        <v>54</v>
      </c>
      <c r="J129" s="2">
        <v>45990</v>
      </c>
      <c r="K129" s="2">
        <v>45990</v>
      </c>
      <c r="L129" t="s">
        <v>26</v>
      </c>
      <c r="M129" t="s">
        <v>57</v>
      </c>
      <c r="O129" t="s">
        <v>37</v>
      </c>
      <c r="Q129">
        <f t="shared" si="4"/>
        <v>1</v>
      </c>
      <c r="R129" s="3">
        <f t="shared" si="5"/>
        <v>4</v>
      </c>
      <c r="S129">
        <f t="shared" si="6"/>
        <v>0</v>
      </c>
      <c r="T129">
        <f t="shared" si="7"/>
        <v>0</v>
      </c>
    </row>
    <row r="130" spans="1:20" x14ac:dyDescent="0.25">
      <c r="A130" t="s">
        <v>195</v>
      </c>
      <c r="B130">
        <v>129</v>
      </c>
      <c r="C130" t="s">
        <v>59</v>
      </c>
      <c r="D130" t="s">
        <v>64</v>
      </c>
      <c r="E130" t="s">
        <v>53</v>
      </c>
      <c r="F130" s="2">
        <v>45993</v>
      </c>
      <c r="G130" s="2">
        <v>45993</v>
      </c>
      <c r="H130" t="s">
        <v>31</v>
      </c>
      <c r="I130" t="s">
        <v>62</v>
      </c>
      <c r="J130" s="2">
        <v>45996</v>
      </c>
      <c r="K130" s="2">
        <v>45996</v>
      </c>
      <c r="L130" t="s">
        <v>26</v>
      </c>
      <c r="M130" t="s">
        <v>57</v>
      </c>
      <c r="O130" t="s">
        <v>34</v>
      </c>
      <c r="Q130">
        <f t="shared" si="4"/>
        <v>1</v>
      </c>
      <c r="R130" s="3">
        <f t="shared" si="5"/>
        <v>3</v>
      </c>
      <c r="S130">
        <f t="shared" si="6"/>
        <v>0</v>
      </c>
      <c r="T130">
        <f t="shared" si="7"/>
        <v>0</v>
      </c>
    </row>
    <row r="131" spans="1:20" x14ac:dyDescent="0.25">
      <c r="A131" t="s">
        <v>196</v>
      </c>
      <c r="B131">
        <v>130</v>
      </c>
      <c r="C131" t="s">
        <v>78</v>
      </c>
      <c r="D131" t="s">
        <v>22</v>
      </c>
      <c r="E131" t="s">
        <v>56</v>
      </c>
      <c r="F131" s="2">
        <v>45799</v>
      </c>
      <c r="G131" s="2">
        <v>45799</v>
      </c>
      <c r="H131" t="s">
        <v>41</v>
      </c>
      <c r="I131" t="s">
        <v>54</v>
      </c>
      <c r="J131" s="2">
        <v>45800</v>
      </c>
      <c r="K131" s="2">
        <v>45800</v>
      </c>
      <c r="L131" t="s">
        <v>26</v>
      </c>
      <c r="M131" t="s">
        <v>57</v>
      </c>
      <c r="O131" t="s">
        <v>34</v>
      </c>
      <c r="P131" t="s">
        <v>88</v>
      </c>
      <c r="Q131">
        <f t="shared" ref="Q131:Q194" si="8">IF(K131&lt;=J131,1,0)</f>
        <v>1</v>
      </c>
      <c r="R131" s="3">
        <f t="shared" ref="R131:R194" si="9">(J131-F131)</f>
        <v>1</v>
      </c>
      <c r="S131">
        <f t="shared" ref="S131:S194" si="10">IF(M131="Delayed",1,0)</f>
        <v>0</v>
      </c>
      <c r="T131">
        <f t="shared" ref="T131:T194" si="11">IF(L131="n",1,0)</f>
        <v>0</v>
      </c>
    </row>
    <row r="132" spans="1:20" x14ac:dyDescent="0.25">
      <c r="A132" t="s">
        <v>197</v>
      </c>
      <c r="B132">
        <v>131</v>
      </c>
      <c r="C132" t="s">
        <v>51</v>
      </c>
      <c r="D132" t="s">
        <v>22</v>
      </c>
      <c r="E132" t="s">
        <v>53</v>
      </c>
      <c r="F132" s="2">
        <v>45744</v>
      </c>
      <c r="G132" s="2">
        <v>45746</v>
      </c>
      <c r="H132" t="s">
        <v>31</v>
      </c>
      <c r="I132" t="s">
        <v>54</v>
      </c>
      <c r="J132" s="2">
        <v>45749</v>
      </c>
      <c r="K132" s="2">
        <v>45749</v>
      </c>
      <c r="L132" t="s">
        <v>46</v>
      </c>
      <c r="M132" t="s">
        <v>57</v>
      </c>
      <c r="O132" t="s">
        <v>81</v>
      </c>
      <c r="P132" t="s">
        <v>88</v>
      </c>
      <c r="Q132">
        <f t="shared" si="8"/>
        <v>1</v>
      </c>
      <c r="R132" s="3">
        <f t="shared" si="9"/>
        <v>5</v>
      </c>
      <c r="S132">
        <f t="shared" si="10"/>
        <v>0</v>
      </c>
      <c r="T132">
        <f t="shared" si="11"/>
        <v>1</v>
      </c>
    </row>
    <row r="133" spans="1:20" x14ac:dyDescent="0.25">
      <c r="A133" t="s">
        <v>198</v>
      </c>
      <c r="B133">
        <v>132</v>
      </c>
      <c r="C133" t="s">
        <v>78</v>
      </c>
      <c r="D133" t="s">
        <v>64</v>
      </c>
      <c r="E133" t="s">
        <v>40</v>
      </c>
      <c r="F133" s="2">
        <v>45984</v>
      </c>
      <c r="G133" s="2">
        <v>45984</v>
      </c>
      <c r="H133" t="s">
        <v>45</v>
      </c>
      <c r="I133" t="s">
        <v>42</v>
      </c>
      <c r="J133" s="2">
        <v>45987</v>
      </c>
      <c r="K133" s="2">
        <v>45987</v>
      </c>
      <c r="L133" t="s">
        <v>46</v>
      </c>
      <c r="M133" t="s">
        <v>27</v>
      </c>
      <c r="O133" t="s">
        <v>81</v>
      </c>
      <c r="P133" t="s">
        <v>93</v>
      </c>
      <c r="Q133">
        <f t="shared" si="8"/>
        <v>1</v>
      </c>
      <c r="R133" s="3">
        <f t="shared" si="9"/>
        <v>3</v>
      </c>
      <c r="S133">
        <f t="shared" si="10"/>
        <v>0</v>
      </c>
      <c r="T133">
        <f t="shared" si="11"/>
        <v>1</v>
      </c>
    </row>
    <row r="134" spans="1:20" x14ac:dyDescent="0.25">
      <c r="A134" t="s">
        <v>199</v>
      </c>
      <c r="B134">
        <v>133</v>
      </c>
      <c r="C134" t="s">
        <v>36</v>
      </c>
      <c r="D134" t="s">
        <v>64</v>
      </c>
      <c r="E134" t="s">
        <v>60</v>
      </c>
      <c r="F134" s="2">
        <v>46003</v>
      </c>
      <c r="G134" s="2">
        <v>46005</v>
      </c>
      <c r="H134" t="s">
        <v>24</v>
      </c>
      <c r="I134" t="s">
        <v>25</v>
      </c>
      <c r="J134" s="2">
        <v>46009</v>
      </c>
      <c r="K134" s="2">
        <v>46009</v>
      </c>
      <c r="L134" t="s">
        <v>46</v>
      </c>
      <c r="M134" t="s">
        <v>57</v>
      </c>
      <c r="O134" t="s">
        <v>28</v>
      </c>
      <c r="Q134">
        <f t="shared" si="8"/>
        <v>1</v>
      </c>
      <c r="R134" s="3">
        <f t="shared" si="9"/>
        <v>6</v>
      </c>
      <c r="S134">
        <f t="shared" si="10"/>
        <v>0</v>
      </c>
      <c r="T134">
        <f t="shared" si="11"/>
        <v>1</v>
      </c>
    </row>
    <row r="135" spans="1:20" x14ac:dyDescent="0.25">
      <c r="A135" t="s">
        <v>200</v>
      </c>
      <c r="B135">
        <v>134</v>
      </c>
      <c r="C135" t="s">
        <v>36</v>
      </c>
      <c r="D135" t="s">
        <v>64</v>
      </c>
      <c r="E135" t="s">
        <v>23</v>
      </c>
      <c r="F135" s="2">
        <v>45748</v>
      </c>
      <c r="G135" s="2">
        <v>45749</v>
      </c>
      <c r="H135" t="s">
        <v>61</v>
      </c>
      <c r="I135" t="s">
        <v>54</v>
      </c>
      <c r="J135" s="2">
        <v>45750</v>
      </c>
      <c r="K135" s="2">
        <v>45750</v>
      </c>
      <c r="L135" t="s">
        <v>26</v>
      </c>
      <c r="M135" t="s">
        <v>57</v>
      </c>
      <c r="O135" t="s">
        <v>69</v>
      </c>
      <c r="Q135">
        <f t="shared" si="8"/>
        <v>1</v>
      </c>
      <c r="R135" s="3">
        <f t="shared" si="9"/>
        <v>2</v>
      </c>
      <c r="S135">
        <f t="shared" si="10"/>
        <v>0</v>
      </c>
      <c r="T135">
        <f t="shared" si="11"/>
        <v>0</v>
      </c>
    </row>
    <row r="136" spans="1:20" x14ac:dyDescent="0.25">
      <c r="A136" t="s">
        <v>201</v>
      </c>
      <c r="B136">
        <v>135</v>
      </c>
      <c r="C136" t="s">
        <v>36</v>
      </c>
      <c r="D136" t="s">
        <v>30</v>
      </c>
      <c r="E136" t="s">
        <v>53</v>
      </c>
      <c r="F136" s="2">
        <v>45857</v>
      </c>
      <c r="G136" s="2">
        <v>45857</v>
      </c>
      <c r="H136" t="s">
        <v>24</v>
      </c>
      <c r="I136" t="s">
        <v>25</v>
      </c>
      <c r="J136" s="2">
        <v>45859</v>
      </c>
      <c r="K136" s="2">
        <v>45859</v>
      </c>
      <c r="L136" t="s">
        <v>46</v>
      </c>
      <c r="M136" t="s">
        <v>27</v>
      </c>
      <c r="O136" t="s">
        <v>69</v>
      </c>
      <c r="Q136">
        <f t="shared" si="8"/>
        <v>1</v>
      </c>
      <c r="R136" s="3">
        <f t="shared" si="9"/>
        <v>2</v>
      </c>
      <c r="S136">
        <f t="shared" si="10"/>
        <v>0</v>
      </c>
      <c r="T136">
        <f t="shared" si="11"/>
        <v>1</v>
      </c>
    </row>
    <row r="137" spans="1:20" x14ac:dyDescent="0.25">
      <c r="A137" t="s">
        <v>202</v>
      </c>
      <c r="B137">
        <v>136</v>
      </c>
      <c r="C137" t="s">
        <v>21</v>
      </c>
      <c r="D137" t="s">
        <v>22</v>
      </c>
      <c r="E137" t="s">
        <v>53</v>
      </c>
      <c r="F137" s="2">
        <v>45958</v>
      </c>
      <c r="G137" s="2">
        <v>45958</v>
      </c>
      <c r="H137" t="s">
        <v>31</v>
      </c>
      <c r="I137" t="s">
        <v>83</v>
      </c>
      <c r="J137" s="2">
        <v>45962</v>
      </c>
      <c r="K137" s="2">
        <v>45962</v>
      </c>
      <c r="L137" t="s">
        <v>26</v>
      </c>
      <c r="M137" t="s">
        <v>27</v>
      </c>
      <c r="O137" t="s">
        <v>43</v>
      </c>
      <c r="P137" t="s">
        <v>93</v>
      </c>
      <c r="Q137">
        <f t="shared" si="8"/>
        <v>1</v>
      </c>
      <c r="R137" s="3">
        <f t="shared" si="9"/>
        <v>4</v>
      </c>
      <c r="S137">
        <f t="shared" si="10"/>
        <v>0</v>
      </c>
      <c r="T137">
        <f t="shared" si="11"/>
        <v>0</v>
      </c>
    </row>
    <row r="138" spans="1:20" x14ac:dyDescent="0.25">
      <c r="A138" t="s">
        <v>203</v>
      </c>
      <c r="B138">
        <v>137</v>
      </c>
      <c r="C138" t="s">
        <v>78</v>
      </c>
      <c r="D138" t="s">
        <v>22</v>
      </c>
      <c r="E138" t="s">
        <v>56</v>
      </c>
      <c r="F138" s="2">
        <v>45980</v>
      </c>
      <c r="G138" s="2">
        <v>45982</v>
      </c>
      <c r="H138" t="s">
        <v>31</v>
      </c>
      <c r="I138" t="s">
        <v>85</v>
      </c>
      <c r="J138" s="2">
        <v>45985</v>
      </c>
      <c r="K138" s="2">
        <v>45985</v>
      </c>
      <c r="L138" t="s">
        <v>26</v>
      </c>
      <c r="M138" t="s">
        <v>57</v>
      </c>
      <c r="O138" t="s">
        <v>69</v>
      </c>
      <c r="P138" t="s">
        <v>93</v>
      </c>
      <c r="Q138">
        <f t="shared" si="8"/>
        <v>1</v>
      </c>
      <c r="R138" s="3">
        <f t="shared" si="9"/>
        <v>5</v>
      </c>
      <c r="S138">
        <f t="shared" si="10"/>
        <v>0</v>
      </c>
      <c r="T138">
        <f t="shared" si="11"/>
        <v>0</v>
      </c>
    </row>
    <row r="139" spans="1:20" x14ac:dyDescent="0.25">
      <c r="A139" t="s">
        <v>204</v>
      </c>
      <c r="B139">
        <v>138</v>
      </c>
      <c r="C139" t="s">
        <v>36</v>
      </c>
      <c r="D139" t="s">
        <v>52</v>
      </c>
      <c r="E139" t="s">
        <v>23</v>
      </c>
      <c r="F139" s="2">
        <v>45719</v>
      </c>
      <c r="G139" s="2">
        <v>45719</v>
      </c>
      <c r="H139" t="s">
        <v>31</v>
      </c>
      <c r="I139" t="s">
        <v>73</v>
      </c>
      <c r="J139" s="2">
        <v>45722</v>
      </c>
      <c r="K139" s="2">
        <v>45722</v>
      </c>
      <c r="L139" t="s">
        <v>26</v>
      </c>
      <c r="M139" t="s">
        <v>27</v>
      </c>
      <c r="O139" t="s">
        <v>34</v>
      </c>
      <c r="Q139">
        <f t="shared" si="8"/>
        <v>1</v>
      </c>
      <c r="R139" s="3">
        <f t="shared" si="9"/>
        <v>3</v>
      </c>
      <c r="S139">
        <f t="shared" si="10"/>
        <v>0</v>
      </c>
      <c r="T139">
        <f t="shared" si="11"/>
        <v>0</v>
      </c>
    </row>
    <row r="140" spans="1:20" x14ac:dyDescent="0.25">
      <c r="A140" t="s">
        <v>205</v>
      </c>
      <c r="B140">
        <v>139</v>
      </c>
      <c r="C140" t="s">
        <v>78</v>
      </c>
      <c r="D140" t="s">
        <v>39</v>
      </c>
      <c r="E140" t="s">
        <v>60</v>
      </c>
      <c r="F140" s="2">
        <v>45922</v>
      </c>
      <c r="G140" s="2">
        <v>45924</v>
      </c>
      <c r="H140" t="s">
        <v>61</v>
      </c>
      <c r="I140" t="s">
        <v>62</v>
      </c>
      <c r="J140" s="2">
        <v>45928</v>
      </c>
      <c r="K140" s="2">
        <v>45929</v>
      </c>
      <c r="L140" t="s">
        <v>26</v>
      </c>
      <c r="M140" t="s">
        <v>57</v>
      </c>
      <c r="O140" t="s">
        <v>28</v>
      </c>
      <c r="Q140">
        <f t="shared" si="8"/>
        <v>0</v>
      </c>
      <c r="R140" s="3">
        <f t="shared" si="9"/>
        <v>6</v>
      </c>
      <c r="S140">
        <f t="shared" si="10"/>
        <v>0</v>
      </c>
      <c r="T140">
        <f t="shared" si="11"/>
        <v>0</v>
      </c>
    </row>
    <row r="141" spans="1:20" x14ac:dyDescent="0.25">
      <c r="A141" t="s">
        <v>206</v>
      </c>
      <c r="B141">
        <v>140</v>
      </c>
      <c r="C141" t="s">
        <v>36</v>
      </c>
      <c r="D141" t="s">
        <v>30</v>
      </c>
      <c r="E141" t="s">
        <v>60</v>
      </c>
      <c r="F141" s="2">
        <v>45963</v>
      </c>
      <c r="G141" s="2">
        <v>45964</v>
      </c>
      <c r="H141" t="s">
        <v>24</v>
      </c>
      <c r="I141" t="s">
        <v>85</v>
      </c>
      <c r="J141" s="2">
        <v>45966</v>
      </c>
      <c r="K141" s="2">
        <v>45966</v>
      </c>
      <c r="L141" t="s">
        <v>26</v>
      </c>
      <c r="M141" t="s">
        <v>57</v>
      </c>
      <c r="O141" t="s">
        <v>28</v>
      </c>
      <c r="Q141">
        <f t="shared" si="8"/>
        <v>1</v>
      </c>
      <c r="R141" s="3">
        <f t="shared" si="9"/>
        <v>3</v>
      </c>
      <c r="S141">
        <f t="shared" si="10"/>
        <v>0</v>
      </c>
      <c r="T141">
        <f t="shared" si="11"/>
        <v>0</v>
      </c>
    </row>
    <row r="142" spans="1:20" x14ac:dyDescent="0.25">
      <c r="A142" t="s">
        <v>207</v>
      </c>
      <c r="B142">
        <v>141</v>
      </c>
      <c r="C142" t="s">
        <v>36</v>
      </c>
      <c r="D142" t="s">
        <v>64</v>
      </c>
      <c r="E142" t="s">
        <v>56</v>
      </c>
      <c r="F142" s="2">
        <v>45885</v>
      </c>
      <c r="G142" s="2">
        <v>45886</v>
      </c>
      <c r="H142" t="s">
        <v>41</v>
      </c>
      <c r="I142" t="s">
        <v>62</v>
      </c>
      <c r="J142" s="2">
        <v>45890</v>
      </c>
      <c r="K142" s="2">
        <v>45890</v>
      </c>
      <c r="L142" t="s">
        <v>46</v>
      </c>
      <c r="M142" t="s">
        <v>27</v>
      </c>
      <c r="O142" t="s">
        <v>34</v>
      </c>
      <c r="Q142">
        <f t="shared" si="8"/>
        <v>1</v>
      </c>
      <c r="R142" s="3">
        <f t="shared" si="9"/>
        <v>5</v>
      </c>
      <c r="S142">
        <f t="shared" si="10"/>
        <v>0</v>
      </c>
      <c r="T142">
        <f t="shared" si="11"/>
        <v>1</v>
      </c>
    </row>
    <row r="143" spans="1:20" x14ac:dyDescent="0.25">
      <c r="A143" t="s">
        <v>208</v>
      </c>
      <c r="B143">
        <v>142</v>
      </c>
      <c r="C143" t="s">
        <v>36</v>
      </c>
      <c r="D143" t="s">
        <v>30</v>
      </c>
      <c r="E143" t="s">
        <v>53</v>
      </c>
      <c r="F143" s="2">
        <v>45723</v>
      </c>
      <c r="G143" s="2">
        <v>45723</v>
      </c>
      <c r="H143" t="s">
        <v>61</v>
      </c>
      <c r="I143" t="s">
        <v>85</v>
      </c>
      <c r="J143" s="2">
        <v>45725</v>
      </c>
      <c r="K143" s="2">
        <v>45725</v>
      </c>
      <c r="L143" t="s">
        <v>26</v>
      </c>
      <c r="M143" t="s">
        <v>57</v>
      </c>
      <c r="O143" t="s">
        <v>34</v>
      </c>
      <c r="Q143">
        <f t="shared" si="8"/>
        <v>1</v>
      </c>
      <c r="R143" s="3">
        <f t="shared" si="9"/>
        <v>2</v>
      </c>
      <c r="S143">
        <f t="shared" si="10"/>
        <v>0</v>
      </c>
      <c r="T143">
        <f t="shared" si="11"/>
        <v>0</v>
      </c>
    </row>
    <row r="144" spans="1:20" x14ac:dyDescent="0.25">
      <c r="A144" t="s">
        <v>209</v>
      </c>
      <c r="B144">
        <v>143</v>
      </c>
      <c r="C144" t="s">
        <v>59</v>
      </c>
      <c r="D144" t="s">
        <v>64</v>
      </c>
      <c r="E144" t="s">
        <v>60</v>
      </c>
      <c r="F144" s="2">
        <v>45668</v>
      </c>
      <c r="G144" s="2">
        <v>45669</v>
      </c>
      <c r="H144" t="s">
        <v>24</v>
      </c>
      <c r="I144" t="s">
        <v>62</v>
      </c>
      <c r="J144" s="2">
        <v>45671</v>
      </c>
      <c r="K144" s="2">
        <v>45675</v>
      </c>
      <c r="L144" t="s">
        <v>26</v>
      </c>
      <c r="M144" t="s">
        <v>32</v>
      </c>
      <c r="N144" t="s">
        <v>47</v>
      </c>
      <c r="O144" t="s">
        <v>37</v>
      </c>
      <c r="Q144">
        <f t="shared" si="8"/>
        <v>0</v>
      </c>
      <c r="R144" s="3">
        <f t="shared" si="9"/>
        <v>3</v>
      </c>
      <c r="S144">
        <f t="shared" si="10"/>
        <v>1</v>
      </c>
      <c r="T144">
        <f t="shared" si="11"/>
        <v>0</v>
      </c>
    </row>
    <row r="145" spans="1:20" x14ac:dyDescent="0.25">
      <c r="A145" t="s">
        <v>210</v>
      </c>
      <c r="B145">
        <v>144</v>
      </c>
      <c r="C145" t="s">
        <v>59</v>
      </c>
      <c r="D145" t="s">
        <v>52</v>
      </c>
      <c r="E145" t="s">
        <v>53</v>
      </c>
      <c r="F145" s="2">
        <v>45791</v>
      </c>
      <c r="G145" s="2">
        <v>45792</v>
      </c>
      <c r="H145" t="s">
        <v>24</v>
      </c>
      <c r="I145" t="s">
        <v>85</v>
      </c>
      <c r="J145" s="2">
        <v>45793</v>
      </c>
      <c r="K145" s="2">
        <v>45793</v>
      </c>
      <c r="L145" t="s">
        <v>46</v>
      </c>
      <c r="M145" t="s">
        <v>27</v>
      </c>
      <c r="O145" t="s">
        <v>81</v>
      </c>
      <c r="Q145">
        <f t="shared" si="8"/>
        <v>1</v>
      </c>
      <c r="R145" s="3">
        <f t="shared" si="9"/>
        <v>2</v>
      </c>
      <c r="S145">
        <f t="shared" si="10"/>
        <v>0</v>
      </c>
      <c r="T145">
        <f t="shared" si="11"/>
        <v>1</v>
      </c>
    </row>
    <row r="146" spans="1:20" x14ac:dyDescent="0.25">
      <c r="A146" t="s">
        <v>211</v>
      </c>
      <c r="B146">
        <v>145</v>
      </c>
      <c r="C146" t="s">
        <v>36</v>
      </c>
      <c r="D146" t="s">
        <v>39</v>
      </c>
      <c r="E146" t="s">
        <v>53</v>
      </c>
      <c r="F146" s="2">
        <v>45978</v>
      </c>
      <c r="G146" s="2">
        <v>45978</v>
      </c>
      <c r="H146" t="s">
        <v>45</v>
      </c>
      <c r="I146" t="s">
        <v>42</v>
      </c>
      <c r="J146" s="2">
        <v>45984</v>
      </c>
      <c r="K146" s="2">
        <v>45984</v>
      </c>
      <c r="L146" t="s">
        <v>46</v>
      </c>
      <c r="M146" t="s">
        <v>57</v>
      </c>
      <c r="O146" t="s">
        <v>81</v>
      </c>
      <c r="P146" t="s">
        <v>76</v>
      </c>
      <c r="Q146">
        <f t="shared" si="8"/>
        <v>1</v>
      </c>
      <c r="R146" s="3">
        <f t="shared" si="9"/>
        <v>6</v>
      </c>
      <c r="S146">
        <f t="shared" si="10"/>
        <v>0</v>
      </c>
      <c r="T146">
        <f t="shared" si="11"/>
        <v>1</v>
      </c>
    </row>
    <row r="147" spans="1:20" x14ac:dyDescent="0.25">
      <c r="A147" t="s">
        <v>212</v>
      </c>
      <c r="B147">
        <v>146</v>
      </c>
      <c r="C147" t="s">
        <v>51</v>
      </c>
      <c r="D147" t="s">
        <v>39</v>
      </c>
      <c r="E147" t="s">
        <v>60</v>
      </c>
      <c r="F147" s="2">
        <v>45670</v>
      </c>
      <c r="G147" s="2">
        <v>45671</v>
      </c>
      <c r="H147" t="s">
        <v>45</v>
      </c>
      <c r="I147" t="s">
        <v>54</v>
      </c>
      <c r="J147" s="2">
        <v>45673</v>
      </c>
      <c r="K147" s="2">
        <v>45673</v>
      </c>
      <c r="L147" t="s">
        <v>26</v>
      </c>
      <c r="M147" t="s">
        <v>27</v>
      </c>
      <c r="O147" t="s">
        <v>69</v>
      </c>
      <c r="P147" t="s">
        <v>88</v>
      </c>
      <c r="Q147">
        <f t="shared" si="8"/>
        <v>1</v>
      </c>
      <c r="R147" s="3">
        <f t="shared" si="9"/>
        <v>3</v>
      </c>
      <c r="S147">
        <f t="shared" si="10"/>
        <v>0</v>
      </c>
      <c r="T147">
        <f t="shared" si="11"/>
        <v>0</v>
      </c>
    </row>
    <row r="148" spans="1:20" x14ac:dyDescent="0.25">
      <c r="A148" t="s">
        <v>213</v>
      </c>
      <c r="B148">
        <v>147</v>
      </c>
      <c r="C148" t="s">
        <v>21</v>
      </c>
      <c r="D148" t="s">
        <v>64</v>
      </c>
      <c r="E148" t="s">
        <v>40</v>
      </c>
      <c r="F148" s="2">
        <v>45663</v>
      </c>
      <c r="G148" s="2">
        <v>45664</v>
      </c>
      <c r="H148" t="s">
        <v>61</v>
      </c>
      <c r="I148" t="s">
        <v>62</v>
      </c>
      <c r="J148" s="2">
        <v>45668</v>
      </c>
      <c r="K148" s="2">
        <v>45668</v>
      </c>
      <c r="L148" t="s">
        <v>26</v>
      </c>
      <c r="M148" t="s">
        <v>27</v>
      </c>
      <c r="O148" t="s">
        <v>81</v>
      </c>
      <c r="Q148">
        <f t="shared" si="8"/>
        <v>1</v>
      </c>
      <c r="R148" s="3">
        <f t="shared" si="9"/>
        <v>5</v>
      </c>
      <c r="S148">
        <f t="shared" si="10"/>
        <v>0</v>
      </c>
      <c r="T148">
        <f t="shared" si="11"/>
        <v>0</v>
      </c>
    </row>
    <row r="149" spans="1:20" x14ac:dyDescent="0.25">
      <c r="A149" t="s">
        <v>214</v>
      </c>
      <c r="B149">
        <v>148</v>
      </c>
      <c r="C149" t="s">
        <v>21</v>
      </c>
      <c r="D149" t="s">
        <v>30</v>
      </c>
      <c r="E149" t="s">
        <v>60</v>
      </c>
      <c r="F149" s="2">
        <v>45811</v>
      </c>
      <c r="G149" s="2">
        <v>45813</v>
      </c>
      <c r="H149" t="s">
        <v>31</v>
      </c>
      <c r="I149" t="s">
        <v>73</v>
      </c>
      <c r="J149" s="2">
        <v>45816</v>
      </c>
      <c r="K149" s="2">
        <v>45816</v>
      </c>
      <c r="L149" t="s">
        <v>26</v>
      </c>
      <c r="M149" t="s">
        <v>27</v>
      </c>
      <c r="O149" t="s">
        <v>37</v>
      </c>
      <c r="Q149">
        <f t="shared" si="8"/>
        <v>1</v>
      </c>
      <c r="R149" s="3">
        <f t="shared" si="9"/>
        <v>5</v>
      </c>
      <c r="S149">
        <f t="shared" si="10"/>
        <v>0</v>
      </c>
      <c r="T149">
        <f t="shared" si="11"/>
        <v>0</v>
      </c>
    </row>
    <row r="150" spans="1:20" x14ac:dyDescent="0.25">
      <c r="A150" t="s">
        <v>215</v>
      </c>
      <c r="B150">
        <v>149</v>
      </c>
      <c r="C150" t="s">
        <v>78</v>
      </c>
      <c r="D150" t="s">
        <v>64</v>
      </c>
      <c r="E150" t="s">
        <v>53</v>
      </c>
      <c r="F150" s="2">
        <v>45681</v>
      </c>
      <c r="G150" s="2">
        <v>45683</v>
      </c>
      <c r="H150" t="s">
        <v>24</v>
      </c>
      <c r="I150" t="s">
        <v>85</v>
      </c>
      <c r="J150" s="2">
        <v>45684</v>
      </c>
      <c r="K150" s="2">
        <v>45684</v>
      </c>
      <c r="L150" t="s">
        <v>26</v>
      </c>
      <c r="M150" t="s">
        <v>57</v>
      </c>
      <c r="O150" t="s">
        <v>37</v>
      </c>
      <c r="P150" t="s">
        <v>71</v>
      </c>
      <c r="Q150">
        <f t="shared" si="8"/>
        <v>1</v>
      </c>
      <c r="R150" s="3">
        <f t="shared" si="9"/>
        <v>3</v>
      </c>
      <c r="S150">
        <f t="shared" si="10"/>
        <v>0</v>
      </c>
      <c r="T150">
        <f t="shared" si="11"/>
        <v>0</v>
      </c>
    </row>
    <row r="151" spans="1:20" x14ac:dyDescent="0.25">
      <c r="A151" t="s">
        <v>216</v>
      </c>
      <c r="B151">
        <v>150</v>
      </c>
      <c r="C151" t="s">
        <v>36</v>
      </c>
      <c r="D151" t="s">
        <v>39</v>
      </c>
      <c r="E151" t="s">
        <v>23</v>
      </c>
      <c r="F151" s="2">
        <v>45744</v>
      </c>
      <c r="G151" s="2">
        <v>45746</v>
      </c>
      <c r="H151" t="s">
        <v>61</v>
      </c>
      <c r="I151" t="s">
        <v>73</v>
      </c>
      <c r="J151" s="2">
        <v>45748</v>
      </c>
      <c r="K151" s="2">
        <v>45748</v>
      </c>
      <c r="L151" t="s">
        <v>46</v>
      </c>
      <c r="M151" t="s">
        <v>27</v>
      </c>
      <c r="O151" t="s">
        <v>43</v>
      </c>
      <c r="P151" t="s">
        <v>76</v>
      </c>
      <c r="Q151">
        <f t="shared" si="8"/>
        <v>1</v>
      </c>
      <c r="R151" s="3">
        <f t="shared" si="9"/>
        <v>4</v>
      </c>
      <c r="S151">
        <f t="shared" si="10"/>
        <v>0</v>
      </c>
      <c r="T151">
        <f t="shared" si="11"/>
        <v>1</v>
      </c>
    </row>
    <row r="152" spans="1:20" x14ac:dyDescent="0.25">
      <c r="A152" t="s">
        <v>217</v>
      </c>
      <c r="B152">
        <v>151</v>
      </c>
      <c r="C152" t="s">
        <v>78</v>
      </c>
      <c r="D152" t="s">
        <v>39</v>
      </c>
      <c r="E152" t="s">
        <v>23</v>
      </c>
      <c r="F152" s="2">
        <v>45661</v>
      </c>
      <c r="G152" s="2">
        <v>45662</v>
      </c>
      <c r="H152" t="s">
        <v>24</v>
      </c>
      <c r="I152" t="s">
        <v>85</v>
      </c>
      <c r="J152" s="2">
        <v>45667</v>
      </c>
      <c r="K152" s="2">
        <v>45667</v>
      </c>
      <c r="L152" t="s">
        <v>26</v>
      </c>
      <c r="M152" t="s">
        <v>57</v>
      </c>
      <c r="O152" t="s">
        <v>28</v>
      </c>
      <c r="P152" t="s">
        <v>71</v>
      </c>
      <c r="Q152">
        <f t="shared" si="8"/>
        <v>1</v>
      </c>
      <c r="R152" s="3">
        <f t="shared" si="9"/>
        <v>6</v>
      </c>
      <c r="S152">
        <f t="shared" si="10"/>
        <v>0</v>
      </c>
      <c r="T152">
        <f t="shared" si="11"/>
        <v>0</v>
      </c>
    </row>
    <row r="153" spans="1:20" x14ac:dyDescent="0.25">
      <c r="A153" t="s">
        <v>218</v>
      </c>
      <c r="B153">
        <v>152</v>
      </c>
      <c r="C153" t="s">
        <v>36</v>
      </c>
      <c r="D153" t="s">
        <v>52</v>
      </c>
      <c r="E153" t="s">
        <v>60</v>
      </c>
      <c r="F153" s="2">
        <v>45870</v>
      </c>
      <c r="G153" s="2">
        <v>45870</v>
      </c>
      <c r="H153" t="s">
        <v>45</v>
      </c>
      <c r="I153" t="s">
        <v>42</v>
      </c>
      <c r="J153" s="2">
        <v>45872</v>
      </c>
      <c r="K153" s="2">
        <v>45873</v>
      </c>
      <c r="L153" t="s">
        <v>46</v>
      </c>
      <c r="M153" t="s">
        <v>27</v>
      </c>
      <c r="O153" t="s">
        <v>43</v>
      </c>
      <c r="Q153">
        <f t="shared" si="8"/>
        <v>0</v>
      </c>
      <c r="R153" s="3">
        <f t="shared" si="9"/>
        <v>2</v>
      </c>
      <c r="S153">
        <f t="shared" si="10"/>
        <v>0</v>
      </c>
      <c r="T153">
        <f t="shared" si="11"/>
        <v>1</v>
      </c>
    </row>
    <row r="154" spans="1:20" x14ac:dyDescent="0.25">
      <c r="A154" t="s">
        <v>219</v>
      </c>
      <c r="B154">
        <v>153</v>
      </c>
      <c r="C154" t="s">
        <v>21</v>
      </c>
      <c r="D154" t="s">
        <v>64</v>
      </c>
      <c r="E154" t="s">
        <v>56</v>
      </c>
      <c r="F154" s="2">
        <v>45939</v>
      </c>
      <c r="G154" s="2">
        <v>45939</v>
      </c>
      <c r="H154" t="s">
        <v>45</v>
      </c>
      <c r="I154" t="s">
        <v>42</v>
      </c>
      <c r="J154" s="2">
        <v>45945</v>
      </c>
      <c r="K154" s="2">
        <v>45945</v>
      </c>
      <c r="L154" t="s">
        <v>26</v>
      </c>
      <c r="M154" t="s">
        <v>27</v>
      </c>
      <c r="O154" t="s">
        <v>28</v>
      </c>
      <c r="Q154">
        <f t="shared" si="8"/>
        <v>1</v>
      </c>
      <c r="R154" s="3">
        <f t="shared" si="9"/>
        <v>6</v>
      </c>
      <c r="S154">
        <f t="shared" si="10"/>
        <v>0</v>
      </c>
      <c r="T154">
        <f t="shared" si="11"/>
        <v>0</v>
      </c>
    </row>
    <row r="155" spans="1:20" x14ac:dyDescent="0.25">
      <c r="A155" t="s">
        <v>220</v>
      </c>
      <c r="B155">
        <v>154</v>
      </c>
      <c r="C155" t="s">
        <v>36</v>
      </c>
      <c r="D155" t="s">
        <v>30</v>
      </c>
      <c r="E155" t="s">
        <v>40</v>
      </c>
      <c r="F155" s="2">
        <v>45863</v>
      </c>
      <c r="G155" s="2">
        <v>45864</v>
      </c>
      <c r="H155" t="s">
        <v>31</v>
      </c>
      <c r="I155" t="s">
        <v>62</v>
      </c>
      <c r="J155" s="2">
        <v>45865</v>
      </c>
      <c r="K155" s="2">
        <v>45865</v>
      </c>
      <c r="L155" t="s">
        <v>26</v>
      </c>
      <c r="M155" t="s">
        <v>57</v>
      </c>
      <c r="O155" t="s">
        <v>81</v>
      </c>
      <c r="P155" t="s">
        <v>93</v>
      </c>
      <c r="Q155">
        <f t="shared" si="8"/>
        <v>1</v>
      </c>
      <c r="R155" s="3">
        <f t="shared" si="9"/>
        <v>2</v>
      </c>
      <c r="S155">
        <f t="shared" si="10"/>
        <v>0</v>
      </c>
      <c r="T155">
        <f t="shared" si="11"/>
        <v>0</v>
      </c>
    </row>
    <row r="156" spans="1:20" x14ac:dyDescent="0.25">
      <c r="A156" t="s">
        <v>221</v>
      </c>
      <c r="B156">
        <v>155</v>
      </c>
      <c r="C156" t="s">
        <v>36</v>
      </c>
      <c r="D156" t="s">
        <v>22</v>
      </c>
      <c r="E156" t="s">
        <v>53</v>
      </c>
      <c r="F156" s="2">
        <v>45739</v>
      </c>
      <c r="G156" s="2">
        <v>45740</v>
      </c>
      <c r="H156" t="s">
        <v>24</v>
      </c>
      <c r="I156" t="s">
        <v>54</v>
      </c>
      <c r="J156" s="2">
        <v>45745</v>
      </c>
      <c r="K156" s="2">
        <v>45745</v>
      </c>
      <c r="L156" t="s">
        <v>26</v>
      </c>
      <c r="M156" t="s">
        <v>57</v>
      </c>
      <c r="O156" t="s">
        <v>81</v>
      </c>
      <c r="P156" t="s">
        <v>88</v>
      </c>
      <c r="Q156">
        <f t="shared" si="8"/>
        <v>1</v>
      </c>
      <c r="R156" s="3">
        <f t="shared" si="9"/>
        <v>6</v>
      </c>
      <c r="S156">
        <f t="shared" si="10"/>
        <v>0</v>
      </c>
      <c r="T156">
        <f t="shared" si="11"/>
        <v>0</v>
      </c>
    </row>
    <row r="157" spans="1:20" x14ac:dyDescent="0.25">
      <c r="A157" t="s">
        <v>222</v>
      </c>
      <c r="B157">
        <v>156</v>
      </c>
      <c r="C157" t="s">
        <v>51</v>
      </c>
      <c r="D157" t="s">
        <v>52</v>
      </c>
      <c r="E157" t="s">
        <v>60</v>
      </c>
      <c r="F157" s="2">
        <v>45804</v>
      </c>
      <c r="G157" s="2">
        <v>45805</v>
      </c>
      <c r="H157" t="s">
        <v>24</v>
      </c>
      <c r="I157" t="s">
        <v>62</v>
      </c>
      <c r="J157" s="2">
        <v>45809</v>
      </c>
      <c r="K157" s="2">
        <v>45809</v>
      </c>
      <c r="L157" t="s">
        <v>26</v>
      </c>
      <c r="M157" t="s">
        <v>27</v>
      </c>
      <c r="O157" t="s">
        <v>34</v>
      </c>
      <c r="Q157">
        <f t="shared" si="8"/>
        <v>1</v>
      </c>
      <c r="R157" s="3">
        <f t="shared" si="9"/>
        <v>5</v>
      </c>
      <c r="S157">
        <f t="shared" si="10"/>
        <v>0</v>
      </c>
      <c r="T157">
        <f t="shared" si="11"/>
        <v>0</v>
      </c>
    </row>
    <row r="158" spans="1:20" x14ac:dyDescent="0.25">
      <c r="A158" t="s">
        <v>223</v>
      </c>
      <c r="B158">
        <v>157</v>
      </c>
      <c r="C158" t="s">
        <v>51</v>
      </c>
      <c r="D158" t="s">
        <v>64</v>
      </c>
      <c r="E158" t="s">
        <v>56</v>
      </c>
      <c r="F158" s="2">
        <v>45883</v>
      </c>
      <c r="G158" s="2">
        <v>45883</v>
      </c>
      <c r="H158" t="s">
        <v>41</v>
      </c>
      <c r="I158" t="s">
        <v>85</v>
      </c>
      <c r="J158" s="2">
        <v>45884</v>
      </c>
      <c r="K158" s="2">
        <v>45885</v>
      </c>
      <c r="L158" t="s">
        <v>26</v>
      </c>
      <c r="M158" t="s">
        <v>27</v>
      </c>
      <c r="O158" t="s">
        <v>34</v>
      </c>
      <c r="Q158">
        <f t="shared" si="8"/>
        <v>0</v>
      </c>
      <c r="R158" s="3">
        <f t="shared" si="9"/>
        <v>1</v>
      </c>
      <c r="S158">
        <f t="shared" si="10"/>
        <v>0</v>
      </c>
      <c r="T158">
        <f t="shared" si="11"/>
        <v>0</v>
      </c>
    </row>
    <row r="159" spans="1:20" x14ac:dyDescent="0.25">
      <c r="A159" t="s">
        <v>224</v>
      </c>
      <c r="B159">
        <v>158</v>
      </c>
      <c r="C159" t="s">
        <v>21</v>
      </c>
      <c r="D159" t="s">
        <v>52</v>
      </c>
      <c r="E159" t="s">
        <v>53</v>
      </c>
      <c r="F159" s="2">
        <v>46013</v>
      </c>
      <c r="G159" s="2">
        <v>46015</v>
      </c>
      <c r="H159" t="s">
        <v>45</v>
      </c>
      <c r="I159" t="s">
        <v>25</v>
      </c>
      <c r="J159" s="2">
        <v>46016</v>
      </c>
      <c r="K159" s="2">
        <v>46016</v>
      </c>
      <c r="L159" t="s">
        <v>26</v>
      </c>
      <c r="M159" t="s">
        <v>27</v>
      </c>
      <c r="O159" t="s">
        <v>28</v>
      </c>
      <c r="Q159">
        <f t="shared" si="8"/>
        <v>1</v>
      </c>
      <c r="R159" s="3">
        <f t="shared" si="9"/>
        <v>3</v>
      </c>
      <c r="S159">
        <f t="shared" si="10"/>
        <v>0</v>
      </c>
      <c r="T159">
        <f t="shared" si="11"/>
        <v>0</v>
      </c>
    </row>
    <row r="160" spans="1:20" x14ac:dyDescent="0.25">
      <c r="A160" t="s">
        <v>225</v>
      </c>
      <c r="B160">
        <v>159</v>
      </c>
      <c r="C160" t="s">
        <v>21</v>
      </c>
      <c r="D160" t="s">
        <v>64</v>
      </c>
      <c r="E160" t="s">
        <v>40</v>
      </c>
      <c r="F160" s="2">
        <v>45995</v>
      </c>
      <c r="G160" s="2">
        <v>45995</v>
      </c>
      <c r="H160" t="s">
        <v>31</v>
      </c>
      <c r="I160" t="s">
        <v>62</v>
      </c>
      <c r="J160" s="2">
        <v>45997</v>
      </c>
      <c r="K160" s="2">
        <v>45999</v>
      </c>
      <c r="L160" t="s">
        <v>46</v>
      </c>
      <c r="M160" t="s">
        <v>32</v>
      </c>
      <c r="N160" t="s">
        <v>49</v>
      </c>
      <c r="O160" t="s">
        <v>34</v>
      </c>
      <c r="Q160">
        <f t="shared" si="8"/>
        <v>0</v>
      </c>
      <c r="R160" s="3">
        <f t="shared" si="9"/>
        <v>2</v>
      </c>
      <c r="S160">
        <f t="shared" si="10"/>
        <v>1</v>
      </c>
      <c r="T160">
        <f t="shared" si="11"/>
        <v>1</v>
      </c>
    </row>
    <row r="161" spans="1:20" x14ac:dyDescent="0.25">
      <c r="A161" t="s">
        <v>226</v>
      </c>
      <c r="B161">
        <v>160</v>
      </c>
      <c r="C161" t="s">
        <v>21</v>
      </c>
      <c r="D161" t="s">
        <v>52</v>
      </c>
      <c r="E161" t="s">
        <v>40</v>
      </c>
      <c r="F161" s="2">
        <v>45756</v>
      </c>
      <c r="G161" s="2">
        <v>45756</v>
      </c>
      <c r="H161" t="s">
        <v>61</v>
      </c>
      <c r="I161" t="s">
        <v>73</v>
      </c>
      <c r="J161" s="2">
        <v>45761</v>
      </c>
      <c r="K161" s="2">
        <v>45761</v>
      </c>
      <c r="L161" t="s">
        <v>26</v>
      </c>
      <c r="M161" t="s">
        <v>57</v>
      </c>
      <c r="O161" t="s">
        <v>34</v>
      </c>
      <c r="Q161">
        <f t="shared" si="8"/>
        <v>1</v>
      </c>
      <c r="R161" s="3">
        <f t="shared" si="9"/>
        <v>5</v>
      </c>
      <c r="S161">
        <f t="shared" si="10"/>
        <v>0</v>
      </c>
      <c r="T161">
        <f t="shared" si="11"/>
        <v>0</v>
      </c>
    </row>
    <row r="162" spans="1:20" x14ac:dyDescent="0.25">
      <c r="A162" t="s">
        <v>227</v>
      </c>
      <c r="B162">
        <v>161</v>
      </c>
      <c r="C162" t="s">
        <v>36</v>
      </c>
      <c r="D162" t="s">
        <v>30</v>
      </c>
      <c r="E162" t="s">
        <v>40</v>
      </c>
      <c r="F162" s="2">
        <v>45673</v>
      </c>
      <c r="G162" s="2">
        <v>45674</v>
      </c>
      <c r="H162" t="s">
        <v>31</v>
      </c>
      <c r="I162" t="s">
        <v>54</v>
      </c>
      <c r="J162" s="2">
        <v>45677</v>
      </c>
      <c r="K162" s="2">
        <v>45677</v>
      </c>
      <c r="L162" t="s">
        <v>46</v>
      </c>
      <c r="M162" t="s">
        <v>57</v>
      </c>
      <c r="O162" t="s">
        <v>69</v>
      </c>
      <c r="Q162">
        <f t="shared" si="8"/>
        <v>1</v>
      </c>
      <c r="R162" s="3">
        <f t="shared" si="9"/>
        <v>4</v>
      </c>
      <c r="S162">
        <f t="shared" si="10"/>
        <v>0</v>
      </c>
      <c r="T162">
        <f t="shared" si="11"/>
        <v>1</v>
      </c>
    </row>
    <row r="163" spans="1:20" x14ac:dyDescent="0.25">
      <c r="A163" t="s">
        <v>228</v>
      </c>
      <c r="B163">
        <v>162</v>
      </c>
      <c r="C163" t="s">
        <v>21</v>
      </c>
      <c r="D163" t="s">
        <v>22</v>
      </c>
      <c r="E163" t="s">
        <v>23</v>
      </c>
      <c r="F163" s="2">
        <v>45972</v>
      </c>
      <c r="G163" s="2">
        <v>45973</v>
      </c>
      <c r="H163" t="s">
        <v>61</v>
      </c>
      <c r="I163" t="s">
        <v>25</v>
      </c>
      <c r="J163" s="2">
        <v>45975</v>
      </c>
      <c r="K163" s="2">
        <v>45975</v>
      </c>
      <c r="L163" t="s">
        <v>26</v>
      </c>
      <c r="M163" t="s">
        <v>57</v>
      </c>
      <c r="O163" t="s">
        <v>28</v>
      </c>
      <c r="Q163">
        <f t="shared" si="8"/>
        <v>1</v>
      </c>
      <c r="R163" s="3">
        <f t="shared" si="9"/>
        <v>3</v>
      </c>
      <c r="S163">
        <f t="shared" si="10"/>
        <v>0</v>
      </c>
      <c r="T163">
        <f t="shared" si="11"/>
        <v>0</v>
      </c>
    </row>
    <row r="164" spans="1:20" x14ac:dyDescent="0.25">
      <c r="A164" t="s">
        <v>229</v>
      </c>
      <c r="B164">
        <v>163</v>
      </c>
      <c r="C164" t="s">
        <v>51</v>
      </c>
      <c r="D164" t="s">
        <v>52</v>
      </c>
      <c r="E164" t="s">
        <v>60</v>
      </c>
      <c r="F164" s="2">
        <v>46006</v>
      </c>
      <c r="G164" s="2">
        <v>46007</v>
      </c>
      <c r="H164" t="s">
        <v>41</v>
      </c>
      <c r="I164" t="s">
        <v>42</v>
      </c>
      <c r="J164" s="2">
        <v>46013</v>
      </c>
      <c r="K164" s="2">
        <v>46013</v>
      </c>
      <c r="L164" t="s">
        <v>46</v>
      </c>
      <c r="M164" t="s">
        <v>27</v>
      </c>
      <c r="O164" t="s">
        <v>37</v>
      </c>
      <c r="P164" t="s">
        <v>76</v>
      </c>
      <c r="Q164">
        <f t="shared" si="8"/>
        <v>1</v>
      </c>
      <c r="R164" s="3">
        <f t="shared" si="9"/>
        <v>7</v>
      </c>
      <c r="S164">
        <f t="shared" si="10"/>
        <v>0</v>
      </c>
      <c r="T164">
        <f t="shared" si="11"/>
        <v>1</v>
      </c>
    </row>
    <row r="165" spans="1:20" x14ac:dyDescent="0.25">
      <c r="A165" t="s">
        <v>230</v>
      </c>
      <c r="B165">
        <v>164</v>
      </c>
      <c r="C165" t="s">
        <v>21</v>
      </c>
      <c r="D165" t="s">
        <v>64</v>
      </c>
      <c r="E165" t="s">
        <v>56</v>
      </c>
      <c r="F165" s="2">
        <v>45862</v>
      </c>
      <c r="G165" s="2">
        <v>45864</v>
      </c>
      <c r="H165" t="s">
        <v>45</v>
      </c>
      <c r="I165" t="s">
        <v>83</v>
      </c>
      <c r="J165" s="2">
        <v>45866</v>
      </c>
      <c r="K165" s="2">
        <v>45866</v>
      </c>
      <c r="L165" t="s">
        <v>46</v>
      </c>
      <c r="M165" t="s">
        <v>27</v>
      </c>
      <c r="O165" t="s">
        <v>34</v>
      </c>
      <c r="Q165">
        <f t="shared" si="8"/>
        <v>1</v>
      </c>
      <c r="R165" s="3">
        <f t="shared" si="9"/>
        <v>4</v>
      </c>
      <c r="S165">
        <f t="shared" si="10"/>
        <v>0</v>
      </c>
      <c r="T165">
        <f t="shared" si="11"/>
        <v>1</v>
      </c>
    </row>
    <row r="166" spans="1:20" x14ac:dyDescent="0.25">
      <c r="A166" t="s">
        <v>231</v>
      </c>
      <c r="B166">
        <v>165</v>
      </c>
      <c r="C166" t="s">
        <v>59</v>
      </c>
      <c r="D166" t="s">
        <v>22</v>
      </c>
      <c r="E166" t="s">
        <v>56</v>
      </c>
      <c r="F166" s="2">
        <v>45975</v>
      </c>
      <c r="G166" s="2">
        <v>45976</v>
      </c>
      <c r="H166" t="s">
        <v>24</v>
      </c>
      <c r="I166" t="s">
        <v>73</v>
      </c>
      <c r="J166" s="2">
        <v>45980</v>
      </c>
      <c r="K166" s="2">
        <v>45980</v>
      </c>
      <c r="L166" t="s">
        <v>26</v>
      </c>
      <c r="M166" t="s">
        <v>57</v>
      </c>
      <c r="O166" t="s">
        <v>43</v>
      </c>
      <c r="Q166">
        <f t="shared" si="8"/>
        <v>1</v>
      </c>
      <c r="R166" s="3">
        <f t="shared" si="9"/>
        <v>5</v>
      </c>
      <c r="S166">
        <f t="shared" si="10"/>
        <v>0</v>
      </c>
      <c r="T166">
        <f t="shared" si="11"/>
        <v>0</v>
      </c>
    </row>
    <row r="167" spans="1:20" x14ac:dyDescent="0.25">
      <c r="A167" t="s">
        <v>232</v>
      </c>
      <c r="B167">
        <v>166</v>
      </c>
      <c r="C167" t="s">
        <v>36</v>
      </c>
      <c r="D167" t="s">
        <v>39</v>
      </c>
      <c r="E167" t="s">
        <v>53</v>
      </c>
      <c r="F167" s="2">
        <v>45962</v>
      </c>
      <c r="G167" s="2">
        <v>45964</v>
      </c>
      <c r="H167" t="s">
        <v>61</v>
      </c>
      <c r="I167" t="s">
        <v>25</v>
      </c>
      <c r="J167" s="2">
        <v>45969</v>
      </c>
      <c r="K167" s="2">
        <v>45969</v>
      </c>
      <c r="L167" t="s">
        <v>26</v>
      </c>
      <c r="M167" t="s">
        <v>57</v>
      </c>
      <c r="O167" t="s">
        <v>43</v>
      </c>
      <c r="Q167">
        <f t="shared" si="8"/>
        <v>1</v>
      </c>
      <c r="R167" s="3">
        <f t="shared" si="9"/>
        <v>7</v>
      </c>
      <c r="S167">
        <f t="shared" si="10"/>
        <v>0</v>
      </c>
      <c r="T167">
        <f t="shared" si="11"/>
        <v>0</v>
      </c>
    </row>
    <row r="168" spans="1:20" x14ac:dyDescent="0.25">
      <c r="A168" t="s">
        <v>233</v>
      </c>
      <c r="B168">
        <v>167</v>
      </c>
      <c r="C168" t="s">
        <v>36</v>
      </c>
      <c r="D168" t="s">
        <v>64</v>
      </c>
      <c r="E168" t="s">
        <v>56</v>
      </c>
      <c r="F168" s="2">
        <v>45911</v>
      </c>
      <c r="G168" s="2">
        <v>45912</v>
      </c>
      <c r="H168" t="s">
        <v>45</v>
      </c>
      <c r="I168" t="s">
        <v>83</v>
      </c>
      <c r="J168" s="2">
        <v>45914</v>
      </c>
      <c r="K168" s="2">
        <v>45914</v>
      </c>
      <c r="L168" t="s">
        <v>26</v>
      </c>
      <c r="M168" t="s">
        <v>57</v>
      </c>
      <c r="O168" t="s">
        <v>28</v>
      </c>
      <c r="Q168">
        <f t="shared" si="8"/>
        <v>1</v>
      </c>
      <c r="R168" s="3">
        <f t="shared" si="9"/>
        <v>3</v>
      </c>
      <c r="S168">
        <f t="shared" si="10"/>
        <v>0</v>
      </c>
      <c r="T168">
        <f t="shared" si="11"/>
        <v>0</v>
      </c>
    </row>
    <row r="169" spans="1:20" x14ac:dyDescent="0.25">
      <c r="A169" t="s">
        <v>234</v>
      </c>
      <c r="B169">
        <v>168</v>
      </c>
      <c r="C169" t="s">
        <v>51</v>
      </c>
      <c r="D169" t="s">
        <v>64</v>
      </c>
      <c r="E169" t="s">
        <v>53</v>
      </c>
      <c r="F169" s="2">
        <v>45981</v>
      </c>
      <c r="G169" s="2">
        <v>45982</v>
      </c>
      <c r="H169" t="s">
        <v>45</v>
      </c>
      <c r="I169" t="s">
        <v>25</v>
      </c>
      <c r="J169" s="2">
        <v>45986</v>
      </c>
      <c r="K169" s="2">
        <v>45986</v>
      </c>
      <c r="L169" t="s">
        <v>26</v>
      </c>
      <c r="M169" t="s">
        <v>27</v>
      </c>
      <c r="O169" t="s">
        <v>37</v>
      </c>
      <c r="Q169">
        <f t="shared" si="8"/>
        <v>1</v>
      </c>
      <c r="R169" s="3">
        <f t="shared" si="9"/>
        <v>5</v>
      </c>
      <c r="S169">
        <f t="shared" si="10"/>
        <v>0</v>
      </c>
      <c r="T169">
        <f t="shared" si="11"/>
        <v>0</v>
      </c>
    </row>
    <row r="170" spans="1:20" x14ac:dyDescent="0.25">
      <c r="A170" t="s">
        <v>235</v>
      </c>
      <c r="B170">
        <v>169</v>
      </c>
      <c r="C170" t="s">
        <v>36</v>
      </c>
      <c r="D170" t="s">
        <v>30</v>
      </c>
      <c r="E170" t="s">
        <v>56</v>
      </c>
      <c r="F170" s="2">
        <v>45669</v>
      </c>
      <c r="G170" s="2">
        <v>45671</v>
      </c>
      <c r="H170" t="s">
        <v>41</v>
      </c>
      <c r="I170" t="s">
        <v>54</v>
      </c>
      <c r="J170" s="2">
        <v>45673</v>
      </c>
      <c r="K170" s="2">
        <v>45673</v>
      </c>
      <c r="L170" t="s">
        <v>26</v>
      </c>
      <c r="M170" t="s">
        <v>57</v>
      </c>
      <c r="O170" t="s">
        <v>69</v>
      </c>
      <c r="Q170">
        <f t="shared" si="8"/>
        <v>1</v>
      </c>
      <c r="R170" s="3">
        <f t="shared" si="9"/>
        <v>4</v>
      </c>
      <c r="S170">
        <f t="shared" si="10"/>
        <v>0</v>
      </c>
      <c r="T170">
        <f t="shared" si="11"/>
        <v>0</v>
      </c>
    </row>
    <row r="171" spans="1:20" x14ac:dyDescent="0.25">
      <c r="A171" t="s">
        <v>236</v>
      </c>
      <c r="B171">
        <v>170</v>
      </c>
      <c r="C171" t="s">
        <v>21</v>
      </c>
      <c r="D171" t="s">
        <v>52</v>
      </c>
      <c r="E171" t="s">
        <v>60</v>
      </c>
      <c r="F171" s="2">
        <v>45789</v>
      </c>
      <c r="G171" s="2">
        <v>45790</v>
      </c>
      <c r="H171" t="s">
        <v>45</v>
      </c>
      <c r="I171" t="s">
        <v>73</v>
      </c>
      <c r="J171" s="2">
        <v>45791</v>
      </c>
      <c r="K171" s="2">
        <v>45791</v>
      </c>
      <c r="L171" t="s">
        <v>26</v>
      </c>
      <c r="M171" t="s">
        <v>57</v>
      </c>
      <c r="O171" t="s">
        <v>43</v>
      </c>
      <c r="P171" t="s">
        <v>71</v>
      </c>
      <c r="Q171">
        <f t="shared" si="8"/>
        <v>1</v>
      </c>
      <c r="R171" s="3">
        <f t="shared" si="9"/>
        <v>2</v>
      </c>
      <c r="S171">
        <f t="shared" si="10"/>
        <v>0</v>
      </c>
      <c r="T171">
        <f t="shared" si="11"/>
        <v>0</v>
      </c>
    </row>
    <row r="172" spans="1:20" x14ac:dyDescent="0.25">
      <c r="A172" t="s">
        <v>237</v>
      </c>
      <c r="B172">
        <v>171</v>
      </c>
      <c r="C172" t="s">
        <v>78</v>
      </c>
      <c r="D172" t="s">
        <v>30</v>
      </c>
      <c r="E172" t="s">
        <v>23</v>
      </c>
      <c r="F172" s="2">
        <v>45794</v>
      </c>
      <c r="G172" s="2">
        <v>45794</v>
      </c>
      <c r="H172" t="s">
        <v>24</v>
      </c>
      <c r="I172" t="s">
        <v>25</v>
      </c>
      <c r="J172" s="2">
        <v>45795</v>
      </c>
      <c r="K172" s="2">
        <v>45795</v>
      </c>
      <c r="L172" t="s">
        <v>26</v>
      </c>
      <c r="M172" t="s">
        <v>27</v>
      </c>
      <c r="O172" t="s">
        <v>37</v>
      </c>
      <c r="Q172">
        <f t="shared" si="8"/>
        <v>1</v>
      </c>
      <c r="R172" s="3">
        <f t="shared" si="9"/>
        <v>1</v>
      </c>
      <c r="S172">
        <f t="shared" si="10"/>
        <v>0</v>
      </c>
      <c r="T172">
        <f t="shared" si="11"/>
        <v>0</v>
      </c>
    </row>
    <row r="173" spans="1:20" x14ac:dyDescent="0.25">
      <c r="A173" t="s">
        <v>238</v>
      </c>
      <c r="B173">
        <v>172</v>
      </c>
      <c r="C173" t="s">
        <v>51</v>
      </c>
      <c r="D173" t="s">
        <v>52</v>
      </c>
      <c r="E173" t="s">
        <v>40</v>
      </c>
      <c r="F173" s="2">
        <v>45711</v>
      </c>
      <c r="G173" s="2">
        <v>45713</v>
      </c>
      <c r="H173" t="s">
        <v>45</v>
      </c>
      <c r="I173" t="s">
        <v>73</v>
      </c>
      <c r="J173" s="2">
        <v>45718</v>
      </c>
      <c r="K173" s="2">
        <v>45722</v>
      </c>
      <c r="L173" t="s">
        <v>46</v>
      </c>
      <c r="M173" t="s">
        <v>32</v>
      </c>
      <c r="N173" t="s">
        <v>49</v>
      </c>
      <c r="O173" t="s">
        <v>28</v>
      </c>
      <c r="P173" t="s">
        <v>71</v>
      </c>
      <c r="Q173">
        <f t="shared" si="8"/>
        <v>0</v>
      </c>
      <c r="R173" s="3">
        <f t="shared" si="9"/>
        <v>7</v>
      </c>
      <c r="S173">
        <f t="shared" si="10"/>
        <v>1</v>
      </c>
      <c r="T173">
        <f t="shared" si="11"/>
        <v>1</v>
      </c>
    </row>
    <row r="174" spans="1:20" x14ac:dyDescent="0.25">
      <c r="A174" t="s">
        <v>239</v>
      </c>
      <c r="B174">
        <v>173</v>
      </c>
      <c r="C174" t="s">
        <v>59</v>
      </c>
      <c r="D174" t="s">
        <v>52</v>
      </c>
      <c r="E174" t="s">
        <v>40</v>
      </c>
      <c r="F174" s="2">
        <v>46010</v>
      </c>
      <c r="G174" s="2">
        <v>46010</v>
      </c>
      <c r="H174" t="s">
        <v>31</v>
      </c>
      <c r="I174" t="s">
        <v>83</v>
      </c>
      <c r="J174" s="2">
        <v>46011</v>
      </c>
      <c r="K174" s="2">
        <v>46013</v>
      </c>
      <c r="L174" t="s">
        <v>46</v>
      </c>
      <c r="M174" t="s">
        <v>32</v>
      </c>
      <c r="N174" t="s">
        <v>75</v>
      </c>
      <c r="O174" t="s">
        <v>28</v>
      </c>
      <c r="Q174">
        <f t="shared" si="8"/>
        <v>0</v>
      </c>
      <c r="R174" s="3">
        <f t="shared" si="9"/>
        <v>1</v>
      </c>
      <c r="S174">
        <f t="shared" si="10"/>
        <v>1</v>
      </c>
      <c r="T174">
        <f t="shared" si="11"/>
        <v>1</v>
      </c>
    </row>
    <row r="175" spans="1:20" x14ac:dyDescent="0.25">
      <c r="A175" t="s">
        <v>240</v>
      </c>
      <c r="B175">
        <v>174</v>
      </c>
      <c r="C175" t="s">
        <v>59</v>
      </c>
      <c r="D175" t="s">
        <v>30</v>
      </c>
      <c r="E175" t="s">
        <v>53</v>
      </c>
      <c r="F175" s="2">
        <v>45683</v>
      </c>
      <c r="G175" s="2">
        <v>45683</v>
      </c>
      <c r="H175" t="s">
        <v>24</v>
      </c>
      <c r="I175" t="s">
        <v>62</v>
      </c>
      <c r="J175" s="2">
        <v>45686</v>
      </c>
      <c r="K175" s="2">
        <v>45686</v>
      </c>
      <c r="L175" t="s">
        <v>46</v>
      </c>
      <c r="M175" t="s">
        <v>27</v>
      </c>
      <c r="O175" t="s">
        <v>28</v>
      </c>
      <c r="Q175">
        <f t="shared" si="8"/>
        <v>1</v>
      </c>
      <c r="R175" s="3">
        <f t="shared" si="9"/>
        <v>3</v>
      </c>
      <c r="S175">
        <f t="shared" si="10"/>
        <v>0</v>
      </c>
      <c r="T175">
        <f t="shared" si="11"/>
        <v>1</v>
      </c>
    </row>
    <row r="176" spans="1:20" x14ac:dyDescent="0.25">
      <c r="A176" t="s">
        <v>241</v>
      </c>
      <c r="B176">
        <v>175</v>
      </c>
      <c r="C176" t="s">
        <v>21</v>
      </c>
      <c r="D176" t="s">
        <v>64</v>
      </c>
      <c r="E176" t="s">
        <v>56</v>
      </c>
      <c r="F176" s="2">
        <v>45907</v>
      </c>
      <c r="G176" s="2">
        <v>45908</v>
      </c>
      <c r="H176" t="s">
        <v>31</v>
      </c>
      <c r="I176" t="s">
        <v>85</v>
      </c>
      <c r="J176" s="2">
        <v>45910</v>
      </c>
      <c r="K176" s="2">
        <v>45910</v>
      </c>
      <c r="L176" t="s">
        <v>26</v>
      </c>
      <c r="M176" t="s">
        <v>27</v>
      </c>
      <c r="O176" t="s">
        <v>28</v>
      </c>
      <c r="P176" t="s">
        <v>71</v>
      </c>
      <c r="Q176">
        <f t="shared" si="8"/>
        <v>1</v>
      </c>
      <c r="R176" s="3">
        <f t="shared" si="9"/>
        <v>3</v>
      </c>
      <c r="S176">
        <f t="shared" si="10"/>
        <v>0</v>
      </c>
      <c r="T176">
        <f t="shared" si="11"/>
        <v>0</v>
      </c>
    </row>
    <row r="177" spans="1:20" x14ac:dyDescent="0.25">
      <c r="A177" t="s">
        <v>242</v>
      </c>
      <c r="B177">
        <v>176</v>
      </c>
      <c r="C177" t="s">
        <v>21</v>
      </c>
      <c r="D177" t="s">
        <v>64</v>
      </c>
      <c r="E177" t="s">
        <v>40</v>
      </c>
      <c r="F177" s="2">
        <v>45668</v>
      </c>
      <c r="G177" s="2">
        <v>45668</v>
      </c>
      <c r="H177" t="s">
        <v>24</v>
      </c>
      <c r="I177" t="s">
        <v>54</v>
      </c>
      <c r="J177" s="2">
        <v>45672</v>
      </c>
      <c r="K177" s="2">
        <v>45672</v>
      </c>
      <c r="L177" t="s">
        <v>26</v>
      </c>
      <c r="M177" t="s">
        <v>57</v>
      </c>
      <c r="O177" t="s">
        <v>28</v>
      </c>
      <c r="Q177">
        <f t="shared" si="8"/>
        <v>1</v>
      </c>
      <c r="R177" s="3">
        <f t="shared" si="9"/>
        <v>4</v>
      </c>
      <c r="S177">
        <f t="shared" si="10"/>
        <v>0</v>
      </c>
      <c r="T177">
        <f t="shared" si="11"/>
        <v>0</v>
      </c>
    </row>
    <row r="178" spans="1:20" x14ac:dyDescent="0.25">
      <c r="A178" t="s">
        <v>243</v>
      </c>
      <c r="B178">
        <v>177</v>
      </c>
      <c r="C178" t="s">
        <v>21</v>
      </c>
      <c r="D178" t="s">
        <v>64</v>
      </c>
      <c r="E178" t="s">
        <v>60</v>
      </c>
      <c r="F178" s="2">
        <v>45821</v>
      </c>
      <c r="G178" s="2">
        <v>45823</v>
      </c>
      <c r="H178" t="s">
        <v>24</v>
      </c>
      <c r="I178" t="s">
        <v>54</v>
      </c>
      <c r="J178" s="2">
        <v>45825</v>
      </c>
      <c r="K178" s="2">
        <v>45828</v>
      </c>
      <c r="L178" t="s">
        <v>26</v>
      </c>
      <c r="M178" t="s">
        <v>32</v>
      </c>
      <c r="N178" t="s">
        <v>67</v>
      </c>
      <c r="O178" t="s">
        <v>81</v>
      </c>
      <c r="Q178">
        <f t="shared" si="8"/>
        <v>0</v>
      </c>
      <c r="R178" s="3">
        <f t="shared" si="9"/>
        <v>4</v>
      </c>
      <c r="S178">
        <f t="shared" si="10"/>
        <v>1</v>
      </c>
      <c r="T178">
        <f t="shared" si="11"/>
        <v>0</v>
      </c>
    </row>
    <row r="179" spans="1:20" x14ac:dyDescent="0.25">
      <c r="A179" t="s">
        <v>244</v>
      </c>
      <c r="B179">
        <v>178</v>
      </c>
      <c r="C179" t="s">
        <v>36</v>
      </c>
      <c r="D179" t="s">
        <v>64</v>
      </c>
      <c r="E179" t="s">
        <v>53</v>
      </c>
      <c r="F179" s="2">
        <v>45826</v>
      </c>
      <c r="G179" s="2">
        <v>45827</v>
      </c>
      <c r="H179" t="s">
        <v>31</v>
      </c>
      <c r="I179" t="s">
        <v>62</v>
      </c>
      <c r="J179" s="2">
        <v>45828</v>
      </c>
      <c r="K179" s="2">
        <v>45828</v>
      </c>
      <c r="L179" t="s">
        <v>26</v>
      </c>
      <c r="M179" t="s">
        <v>57</v>
      </c>
      <c r="O179" t="s">
        <v>34</v>
      </c>
      <c r="Q179">
        <f t="shared" si="8"/>
        <v>1</v>
      </c>
      <c r="R179" s="3">
        <f t="shared" si="9"/>
        <v>2</v>
      </c>
      <c r="S179">
        <f t="shared" si="10"/>
        <v>0</v>
      </c>
      <c r="T179">
        <f t="shared" si="11"/>
        <v>0</v>
      </c>
    </row>
    <row r="180" spans="1:20" x14ac:dyDescent="0.25">
      <c r="A180" t="s">
        <v>245</v>
      </c>
      <c r="B180">
        <v>179</v>
      </c>
      <c r="C180" t="s">
        <v>21</v>
      </c>
      <c r="D180" t="s">
        <v>30</v>
      </c>
      <c r="E180" t="s">
        <v>60</v>
      </c>
      <c r="F180" s="2">
        <v>45717</v>
      </c>
      <c r="G180" s="2">
        <v>45718</v>
      </c>
      <c r="H180" t="s">
        <v>24</v>
      </c>
      <c r="I180" t="s">
        <v>25</v>
      </c>
      <c r="J180" s="2">
        <v>45721</v>
      </c>
      <c r="K180" s="2">
        <v>45721</v>
      </c>
      <c r="L180" t="s">
        <v>26</v>
      </c>
      <c r="M180" t="s">
        <v>57</v>
      </c>
      <c r="O180" t="s">
        <v>81</v>
      </c>
      <c r="Q180">
        <f t="shared" si="8"/>
        <v>1</v>
      </c>
      <c r="R180" s="3">
        <f t="shared" si="9"/>
        <v>4</v>
      </c>
      <c r="S180">
        <f t="shared" si="10"/>
        <v>0</v>
      </c>
      <c r="T180">
        <f t="shared" si="11"/>
        <v>0</v>
      </c>
    </row>
    <row r="181" spans="1:20" x14ac:dyDescent="0.25">
      <c r="A181" t="s">
        <v>246</v>
      </c>
      <c r="B181">
        <v>180</v>
      </c>
      <c r="C181" t="s">
        <v>51</v>
      </c>
      <c r="D181" t="s">
        <v>64</v>
      </c>
      <c r="E181" t="s">
        <v>53</v>
      </c>
      <c r="F181" s="2">
        <v>45881</v>
      </c>
      <c r="G181" s="2">
        <v>45881</v>
      </c>
      <c r="H181" t="s">
        <v>41</v>
      </c>
      <c r="I181" t="s">
        <v>25</v>
      </c>
      <c r="J181" s="2">
        <v>45887</v>
      </c>
      <c r="K181" s="2">
        <v>45887</v>
      </c>
      <c r="L181" t="s">
        <v>46</v>
      </c>
      <c r="M181" t="s">
        <v>57</v>
      </c>
      <c r="O181" t="s">
        <v>81</v>
      </c>
      <c r="P181" t="s">
        <v>93</v>
      </c>
      <c r="Q181">
        <f t="shared" si="8"/>
        <v>1</v>
      </c>
      <c r="R181" s="3">
        <f t="shared" si="9"/>
        <v>6</v>
      </c>
      <c r="S181">
        <f t="shared" si="10"/>
        <v>0</v>
      </c>
      <c r="T181">
        <f t="shared" si="11"/>
        <v>1</v>
      </c>
    </row>
    <row r="182" spans="1:20" x14ac:dyDescent="0.25">
      <c r="A182" t="s">
        <v>247</v>
      </c>
      <c r="B182">
        <v>181</v>
      </c>
      <c r="C182" t="s">
        <v>21</v>
      </c>
      <c r="D182" t="s">
        <v>52</v>
      </c>
      <c r="E182" t="s">
        <v>60</v>
      </c>
      <c r="F182" s="2">
        <v>45888</v>
      </c>
      <c r="G182" s="2">
        <v>45889</v>
      </c>
      <c r="H182" t="s">
        <v>61</v>
      </c>
      <c r="I182" t="s">
        <v>85</v>
      </c>
      <c r="J182" s="2">
        <v>45893</v>
      </c>
      <c r="K182" s="2">
        <v>45893</v>
      </c>
      <c r="L182" t="s">
        <v>26</v>
      </c>
      <c r="M182" t="s">
        <v>27</v>
      </c>
      <c r="O182" t="s">
        <v>28</v>
      </c>
      <c r="P182" t="s">
        <v>93</v>
      </c>
      <c r="Q182">
        <f t="shared" si="8"/>
        <v>1</v>
      </c>
      <c r="R182" s="3">
        <f t="shared" si="9"/>
        <v>5</v>
      </c>
      <c r="S182">
        <f t="shared" si="10"/>
        <v>0</v>
      </c>
      <c r="T182">
        <f t="shared" si="11"/>
        <v>0</v>
      </c>
    </row>
    <row r="183" spans="1:20" x14ac:dyDescent="0.25">
      <c r="A183" t="s">
        <v>248</v>
      </c>
      <c r="B183">
        <v>182</v>
      </c>
      <c r="C183" t="s">
        <v>59</v>
      </c>
      <c r="D183" t="s">
        <v>22</v>
      </c>
      <c r="E183" t="s">
        <v>56</v>
      </c>
      <c r="F183" s="2">
        <v>45778</v>
      </c>
      <c r="G183" s="2">
        <v>45780</v>
      </c>
      <c r="H183" t="s">
        <v>45</v>
      </c>
      <c r="I183" t="s">
        <v>73</v>
      </c>
      <c r="J183" s="2">
        <v>45784</v>
      </c>
      <c r="K183" s="2">
        <v>45784</v>
      </c>
      <c r="L183" t="s">
        <v>26</v>
      </c>
      <c r="M183" t="s">
        <v>27</v>
      </c>
      <c r="O183" t="s">
        <v>81</v>
      </c>
      <c r="Q183">
        <f t="shared" si="8"/>
        <v>1</v>
      </c>
      <c r="R183" s="3">
        <f t="shared" si="9"/>
        <v>6</v>
      </c>
      <c r="S183">
        <f t="shared" si="10"/>
        <v>0</v>
      </c>
      <c r="T183">
        <f t="shared" si="11"/>
        <v>0</v>
      </c>
    </row>
    <row r="184" spans="1:20" x14ac:dyDescent="0.25">
      <c r="A184" t="s">
        <v>249</v>
      </c>
      <c r="B184">
        <v>183</v>
      </c>
      <c r="C184" t="s">
        <v>21</v>
      </c>
      <c r="D184" t="s">
        <v>22</v>
      </c>
      <c r="E184" t="s">
        <v>53</v>
      </c>
      <c r="F184" s="2">
        <v>45948</v>
      </c>
      <c r="G184" s="2">
        <v>45949</v>
      </c>
      <c r="H184" t="s">
        <v>45</v>
      </c>
      <c r="I184" t="s">
        <v>62</v>
      </c>
      <c r="J184" s="2">
        <v>45952</v>
      </c>
      <c r="K184" s="2">
        <v>45956</v>
      </c>
      <c r="L184" t="s">
        <v>26</v>
      </c>
      <c r="M184" t="s">
        <v>32</v>
      </c>
      <c r="N184" t="s">
        <v>49</v>
      </c>
      <c r="O184" t="s">
        <v>43</v>
      </c>
      <c r="P184" t="s">
        <v>93</v>
      </c>
      <c r="Q184">
        <f t="shared" si="8"/>
        <v>0</v>
      </c>
      <c r="R184" s="3">
        <f t="shared" si="9"/>
        <v>4</v>
      </c>
      <c r="S184">
        <f t="shared" si="10"/>
        <v>1</v>
      </c>
      <c r="T184">
        <f t="shared" si="11"/>
        <v>0</v>
      </c>
    </row>
    <row r="185" spans="1:20" x14ac:dyDescent="0.25">
      <c r="A185" t="s">
        <v>250</v>
      </c>
      <c r="B185">
        <v>184</v>
      </c>
      <c r="C185" t="s">
        <v>78</v>
      </c>
      <c r="D185" t="s">
        <v>64</v>
      </c>
      <c r="E185" t="s">
        <v>23</v>
      </c>
      <c r="F185" s="2">
        <v>45741</v>
      </c>
      <c r="G185" s="2">
        <v>45743</v>
      </c>
      <c r="H185" t="s">
        <v>24</v>
      </c>
      <c r="I185" t="s">
        <v>73</v>
      </c>
      <c r="J185" s="2">
        <v>45745</v>
      </c>
      <c r="K185" s="2">
        <v>45746</v>
      </c>
      <c r="L185" t="s">
        <v>26</v>
      </c>
      <c r="M185" t="s">
        <v>57</v>
      </c>
      <c r="O185" t="s">
        <v>37</v>
      </c>
      <c r="Q185">
        <f t="shared" si="8"/>
        <v>0</v>
      </c>
      <c r="R185" s="3">
        <f t="shared" si="9"/>
        <v>4</v>
      </c>
      <c r="S185">
        <f t="shared" si="10"/>
        <v>0</v>
      </c>
      <c r="T185">
        <f t="shared" si="11"/>
        <v>0</v>
      </c>
    </row>
    <row r="186" spans="1:20" x14ac:dyDescent="0.25">
      <c r="A186" t="s">
        <v>251</v>
      </c>
      <c r="B186">
        <v>185</v>
      </c>
      <c r="C186" t="s">
        <v>21</v>
      </c>
      <c r="D186" t="s">
        <v>52</v>
      </c>
      <c r="E186" t="s">
        <v>23</v>
      </c>
      <c r="F186" s="2">
        <v>45744</v>
      </c>
      <c r="G186" s="2">
        <v>45745</v>
      </c>
      <c r="H186" t="s">
        <v>24</v>
      </c>
      <c r="I186" t="s">
        <v>25</v>
      </c>
      <c r="J186" s="2">
        <v>45746</v>
      </c>
      <c r="K186" s="2">
        <v>45746</v>
      </c>
      <c r="L186" t="s">
        <v>26</v>
      </c>
      <c r="M186" t="s">
        <v>27</v>
      </c>
      <c r="O186" t="s">
        <v>37</v>
      </c>
      <c r="Q186">
        <f t="shared" si="8"/>
        <v>1</v>
      </c>
      <c r="R186" s="3">
        <f t="shared" si="9"/>
        <v>2</v>
      </c>
      <c r="S186">
        <f t="shared" si="10"/>
        <v>0</v>
      </c>
      <c r="T186">
        <f t="shared" si="11"/>
        <v>0</v>
      </c>
    </row>
    <row r="187" spans="1:20" x14ac:dyDescent="0.25">
      <c r="A187" t="s">
        <v>252</v>
      </c>
      <c r="B187">
        <v>186</v>
      </c>
      <c r="C187" t="s">
        <v>36</v>
      </c>
      <c r="D187" t="s">
        <v>39</v>
      </c>
      <c r="E187" t="s">
        <v>60</v>
      </c>
      <c r="F187" s="2">
        <v>45833</v>
      </c>
      <c r="G187" s="2">
        <v>45834</v>
      </c>
      <c r="H187" t="s">
        <v>31</v>
      </c>
      <c r="I187" t="s">
        <v>85</v>
      </c>
      <c r="J187" s="2">
        <v>45835</v>
      </c>
      <c r="K187" s="2">
        <v>45835</v>
      </c>
      <c r="L187" t="s">
        <v>26</v>
      </c>
      <c r="M187" t="s">
        <v>57</v>
      </c>
      <c r="O187" t="s">
        <v>81</v>
      </c>
      <c r="Q187">
        <f t="shared" si="8"/>
        <v>1</v>
      </c>
      <c r="R187" s="3">
        <f t="shared" si="9"/>
        <v>2</v>
      </c>
      <c r="S187">
        <f t="shared" si="10"/>
        <v>0</v>
      </c>
      <c r="T187">
        <f t="shared" si="11"/>
        <v>0</v>
      </c>
    </row>
    <row r="188" spans="1:20" x14ac:dyDescent="0.25">
      <c r="A188" t="s">
        <v>253</v>
      </c>
      <c r="B188">
        <v>187</v>
      </c>
      <c r="C188" t="s">
        <v>51</v>
      </c>
      <c r="D188" t="s">
        <v>30</v>
      </c>
      <c r="E188" t="s">
        <v>40</v>
      </c>
      <c r="F188" s="2">
        <v>45809</v>
      </c>
      <c r="G188" s="2">
        <v>45809</v>
      </c>
      <c r="H188" t="s">
        <v>45</v>
      </c>
      <c r="I188" t="s">
        <v>62</v>
      </c>
      <c r="J188" s="2">
        <v>45811</v>
      </c>
      <c r="K188" s="2">
        <v>45811</v>
      </c>
      <c r="L188" t="s">
        <v>46</v>
      </c>
      <c r="M188" t="s">
        <v>57</v>
      </c>
      <c r="O188" t="s">
        <v>37</v>
      </c>
      <c r="Q188">
        <f t="shared" si="8"/>
        <v>1</v>
      </c>
      <c r="R188" s="3">
        <f t="shared" si="9"/>
        <v>2</v>
      </c>
      <c r="S188">
        <f t="shared" si="10"/>
        <v>0</v>
      </c>
      <c r="T188">
        <f t="shared" si="11"/>
        <v>1</v>
      </c>
    </row>
    <row r="189" spans="1:20" x14ac:dyDescent="0.25">
      <c r="A189" t="s">
        <v>254</v>
      </c>
      <c r="B189">
        <v>188</v>
      </c>
      <c r="C189" t="s">
        <v>36</v>
      </c>
      <c r="D189" t="s">
        <v>64</v>
      </c>
      <c r="E189" t="s">
        <v>53</v>
      </c>
      <c r="F189" s="2">
        <v>45750</v>
      </c>
      <c r="G189" s="2">
        <v>45751</v>
      </c>
      <c r="H189" t="s">
        <v>31</v>
      </c>
      <c r="I189" t="s">
        <v>83</v>
      </c>
      <c r="J189" s="2">
        <v>45757</v>
      </c>
      <c r="K189" s="2">
        <v>45757</v>
      </c>
      <c r="L189" t="s">
        <v>26</v>
      </c>
      <c r="M189" t="s">
        <v>57</v>
      </c>
      <c r="O189" t="s">
        <v>43</v>
      </c>
      <c r="Q189">
        <f t="shared" si="8"/>
        <v>1</v>
      </c>
      <c r="R189" s="3">
        <f t="shared" si="9"/>
        <v>7</v>
      </c>
      <c r="S189">
        <f t="shared" si="10"/>
        <v>0</v>
      </c>
      <c r="T189">
        <f t="shared" si="11"/>
        <v>0</v>
      </c>
    </row>
    <row r="190" spans="1:20" x14ac:dyDescent="0.25">
      <c r="A190" t="s">
        <v>255</v>
      </c>
      <c r="B190">
        <v>189</v>
      </c>
      <c r="C190" t="s">
        <v>59</v>
      </c>
      <c r="D190" t="s">
        <v>52</v>
      </c>
      <c r="E190" t="s">
        <v>40</v>
      </c>
      <c r="F190" s="2">
        <v>46014</v>
      </c>
      <c r="G190" s="2">
        <v>46016</v>
      </c>
      <c r="H190" t="s">
        <v>61</v>
      </c>
      <c r="I190" t="s">
        <v>54</v>
      </c>
      <c r="J190" s="2">
        <v>46019</v>
      </c>
      <c r="K190" s="2">
        <v>46022</v>
      </c>
      <c r="L190" t="s">
        <v>26</v>
      </c>
      <c r="M190" t="s">
        <v>32</v>
      </c>
      <c r="N190" t="s">
        <v>47</v>
      </c>
      <c r="O190" t="s">
        <v>81</v>
      </c>
      <c r="P190" t="s">
        <v>71</v>
      </c>
      <c r="Q190">
        <f t="shared" si="8"/>
        <v>0</v>
      </c>
      <c r="R190" s="3">
        <f t="shared" si="9"/>
        <v>5</v>
      </c>
      <c r="S190">
        <f t="shared" si="10"/>
        <v>1</v>
      </c>
      <c r="T190">
        <f t="shared" si="11"/>
        <v>0</v>
      </c>
    </row>
    <row r="191" spans="1:20" x14ac:dyDescent="0.25">
      <c r="A191" t="s">
        <v>256</v>
      </c>
      <c r="B191">
        <v>190</v>
      </c>
      <c r="C191" t="s">
        <v>51</v>
      </c>
      <c r="D191" t="s">
        <v>30</v>
      </c>
      <c r="E191" t="s">
        <v>53</v>
      </c>
      <c r="F191" s="2">
        <v>45979</v>
      </c>
      <c r="G191" s="2">
        <v>45980</v>
      </c>
      <c r="H191" t="s">
        <v>41</v>
      </c>
      <c r="I191" t="s">
        <v>83</v>
      </c>
      <c r="J191" s="2">
        <v>45981</v>
      </c>
      <c r="K191" s="2">
        <v>45981</v>
      </c>
      <c r="L191" t="s">
        <v>26</v>
      </c>
      <c r="M191" t="s">
        <v>27</v>
      </c>
      <c r="O191" t="s">
        <v>81</v>
      </c>
      <c r="Q191">
        <f t="shared" si="8"/>
        <v>1</v>
      </c>
      <c r="R191" s="3">
        <f t="shared" si="9"/>
        <v>2</v>
      </c>
      <c r="S191">
        <f t="shared" si="10"/>
        <v>0</v>
      </c>
      <c r="T191">
        <f t="shared" si="11"/>
        <v>0</v>
      </c>
    </row>
    <row r="192" spans="1:20" x14ac:dyDescent="0.25">
      <c r="A192" t="s">
        <v>257</v>
      </c>
      <c r="B192">
        <v>191</v>
      </c>
      <c r="C192" t="s">
        <v>78</v>
      </c>
      <c r="D192" t="s">
        <v>30</v>
      </c>
      <c r="E192" t="s">
        <v>53</v>
      </c>
      <c r="F192" s="2">
        <v>45696</v>
      </c>
      <c r="G192" s="2">
        <v>45698</v>
      </c>
      <c r="H192" t="s">
        <v>61</v>
      </c>
      <c r="I192" t="s">
        <v>73</v>
      </c>
      <c r="J192" s="2">
        <v>45702</v>
      </c>
      <c r="K192" s="2">
        <v>45702</v>
      </c>
      <c r="L192" t="s">
        <v>26</v>
      </c>
      <c r="M192" t="s">
        <v>27</v>
      </c>
      <c r="O192" t="s">
        <v>81</v>
      </c>
      <c r="Q192">
        <f t="shared" si="8"/>
        <v>1</v>
      </c>
      <c r="R192" s="3">
        <f t="shared" si="9"/>
        <v>6</v>
      </c>
      <c r="S192">
        <f t="shared" si="10"/>
        <v>0</v>
      </c>
      <c r="T192">
        <f t="shared" si="11"/>
        <v>0</v>
      </c>
    </row>
    <row r="193" spans="1:20" x14ac:dyDescent="0.25">
      <c r="A193" t="s">
        <v>258</v>
      </c>
      <c r="B193">
        <v>192</v>
      </c>
      <c r="C193" t="s">
        <v>51</v>
      </c>
      <c r="D193" t="s">
        <v>39</v>
      </c>
      <c r="E193" t="s">
        <v>56</v>
      </c>
      <c r="F193" s="2">
        <v>45833</v>
      </c>
      <c r="G193" s="2">
        <v>45833</v>
      </c>
      <c r="H193" t="s">
        <v>61</v>
      </c>
      <c r="I193" t="s">
        <v>83</v>
      </c>
      <c r="J193" s="2">
        <v>45839</v>
      </c>
      <c r="K193" s="2">
        <v>45839</v>
      </c>
      <c r="L193" t="s">
        <v>26</v>
      </c>
      <c r="M193" t="s">
        <v>57</v>
      </c>
      <c r="O193" t="s">
        <v>37</v>
      </c>
      <c r="P193" t="s">
        <v>88</v>
      </c>
      <c r="Q193">
        <f t="shared" si="8"/>
        <v>1</v>
      </c>
      <c r="R193" s="3">
        <f t="shared" si="9"/>
        <v>6</v>
      </c>
      <c r="S193">
        <f t="shared" si="10"/>
        <v>0</v>
      </c>
      <c r="T193">
        <f t="shared" si="11"/>
        <v>0</v>
      </c>
    </row>
    <row r="194" spans="1:20" x14ac:dyDescent="0.25">
      <c r="A194" t="s">
        <v>259</v>
      </c>
      <c r="B194">
        <v>193</v>
      </c>
      <c r="C194" t="s">
        <v>59</v>
      </c>
      <c r="D194" t="s">
        <v>52</v>
      </c>
      <c r="E194" t="s">
        <v>53</v>
      </c>
      <c r="F194" s="2">
        <v>45754</v>
      </c>
      <c r="G194" s="2">
        <v>45754</v>
      </c>
      <c r="H194" t="s">
        <v>41</v>
      </c>
      <c r="I194" t="s">
        <v>54</v>
      </c>
      <c r="J194" s="2">
        <v>45756</v>
      </c>
      <c r="K194" s="2">
        <v>45756</v>
      </c>
      <c r="L194" t="s">
        <v>26</v>
      </c>
      <c r="M194" t="s">
        <v>27</v>
      </c>
      <c r="O194" t="s">
        <v>69</v>
      </c>
      <c r="Q194">
        <f t="shared" si="8"/>
        <v>1</v>
      </c>
      <c r="R194" s="3">
        <f t="shared" si="9"/>
        <v>2</v>
      </c>
      <c r="S194">
        <f t="shared" si="10"/>
        <v>0</v>
      </c>
      <c r="T194">
        <f t="shared" si="11"/>
        <v>0</v>
      </c>
    </row>
    <row r="195" spans="1:20" x14ac:dyDescent="0.25">
      <c r="A195" t="s">
        <v>260</v>
      </c>
      <c r="B195">
        <v>194</v>
      </c>
      <c r="C195" t="s">
        <v>51</v>
      </c>
      <c r="D195" t="s">
        <v>52</v>
      </c>
      <c r="E195" t="s">
        <v>23</v>
      </c>
      <c r="F195" s="2">
        <v>45863</v>
      </c>
      <c r="G195" s="2">
        <v>45864</v>
      </c>
      <c r="H195" t="s">
        <v>41</v>
      </c>
      <c r="I195" t="s">
        <v>54</v>
      </c>
      <c r="J195" s="2">
        <v>45867</v>
      </c>
      <c r="K195" s="2">
        <v>45868</v>
      </c>
      <c r="L195" t="s">
        <v>46</v>
      </c>
      <c r="M195" t="s">
        <v>57</v>
      </c>
      <c r="O195" t="s">
        <v>34</v>
      </c>
      <c r="Q195">
        <f t="shared" ref="Q195:Q258" si="12">IF(K195&lt;=J195,1,0)</f>
        <v>0</v>
      </c>
      <c r="R195" s="3">
        <f t="shared" ref="R195:R258" si="13">(J195-F195)</f>
        <v>4</v>
      </c>
      <c r="S195">
        <f t="shared" ref="S195:S258" si="14">IF(M195="Delayed",1,0)</f>
        <v>0</v>
      </c>
      <c r="T195">
        <f t="shared" ref="T195:T258" si="15">IF(L195="n",1,0)</f>
        <v>1</v>
      </c>
    </row>
    <row r="196" spans="1:20" x14ac:dyDescent="0.25">
      <c r="A196" t="s">
        <v>261</v>
      </c>
      <c r="B196">
        <v>195</v>
      </c>
      <c r="C196" t="s">
        <v>21</v>
      </c>
      <c r="D196" t="s">
        <v>52</v>
      </c>
      <c r="E196" t="s">
        <v>60</v>
      </c>
      <c r="F196" s="2">
        <v>45798</v>
      </c>
      <c r="G196" s="2">
        <v>45800</v>
      </c>
      <c r="H196" t="s">
        <v>45</v>
      </c>
      <c r="I196" t="s">
        <v>83</v>
      </c>
      <c r="J196" s="2">
        <v>45801</v>
      </c>
      <c r="K196" s="2">
        <v>45801</v>
      </c>
      <c r="L196" t="s">
        <v>46</v>
      </c>
      <c r="M196" t="s">
        <v>57</v>
      </c>
      <c r="O196" t="s">
        <v>34</v>
      </c>
      <c r="Q196">
        <f t="shared" si="12"/>
        <v>1</v>
      </c>
      <c r="R196" s="3">
        <f t="shared" si="13"/>
        <v>3</v>
      </c>
      <c r="S196">
        <f t="shared" si="14"/>
        <v>0</v>
      </c>
      <c r="T196">
        <f t="shared" si="15"/>
        <v>1</v>
      </c>
    </row>
    <row r="197" spans="1:20" x14ac:dyDescent="0.25">
      <c r="A197" t="s">
        <v>262</v>
      </c>
      <c r="B197">
        <v>196</v>
      </c>
      <c r="C197" t="s">
        <v>59</v>
      </c>
      <c r="D197" t="s">
        <v>22</v>
      </c>
      <c r="E197" t="s">
        <v>56</v>
      </c>
      <c r="F197" s="2">
        <v>45860</v>
      </c>
      <c r="G197" s="2">
        <v>45860</v>
      </c>
      <c r="H197" t="s">
        <v>61</v>
      </c>
      <c r="I197" t="s">
        <v>73</v>
      </c>
      <c r="J197" s="2">
        <v>45863</v>
      </c>
      <c r="K197" s="2">
        <v>45863</v>
      </c>
      <c r="L197" t="s">
        <v>46</v>
      </c>
      <c r="M197" t="s">
        <v>57</v>
      </c>
      <c r="O197" t="s">
        <v>43</v>
      </c>
      <c r="P197" t="s">
        <v>88</v>
      </c>
      <c r="Q197">
        <f t="shared" si="12"/>
        <v>1</v>
      </c>
      <c r="R197" s="3">
        <f t="shared" si="13"/>
        <v>3</v>
      </c>
      <c r="S197">
        <f t="shared" si="14"/>
        <v>0</v>
      </c>
      <c r="T197">
        <f t="shared" si="15"/>
        <v>1</v>
      </c>
    </row>
    <row r="198" spans="1:20" x14ac:dyDescent="0.25">
      <c r="A198" t="s">
        <v>263</v>
      </c>
      <c r="B198">
        <v>197</v>
      </c>
      <c r="C198" t="s">
        <v>21</v>
      </c>
      <c r="D198" t="s">
        <v>39</v>
      </c>
      <c r="E198" t="s">
        <v>56</v>
      </c>
      <c r="F198" s="2">
        <v>45999</v>
      </c>
      <c r="G198" s="2">
        <v>45999</v>
      </c>
      <c r="H198" t="s">
        <v>41</v>
      </c>
      <c r="I198" t="s">
        <v>54</v>
      </c>
      <c r="J198" s="2">
        <v>46003</v>
      </c>
      <c r="K198" s="2">
        <v>46006</v>
      </c>
      <c r="L198" t="s">
        <v>26</v>
      </c>
      <c r="M198" t="s">
        <v>32</v>
      </c>
      <c r="N198" t="s">
        <v>264</v>
      </c>
      <c r="O198" t="s">
        <v>37</v>
      </c>
      <c r="Q198">
        <f t="shared" si="12"/>
        <v>0</v>
      </c>
      <c r="R198" s="3">
        <f t="shared" si="13"/>
        <v>4</v>
      </c>
      <c r="S198">
        <f t="shared" si="14"/>
        <v>1</v>
      </c>
      <c r="T198">
        <f t="shared" si="15"/>
        <v>0</v>
      </c>
    </row>
    <row r="199" spans="1:20" x14ac:dyDescent="0.25">
      <c r="A199" t="s">
        <v>265</v>
      </c>
      <c r="B199">
        <v>198</v>
      </c>
      <c r="C199" t="s">
        <v>78</v>
      </c>
      <c r="D199" t="s">
        <v>30</v>
      </c>
      <c r="E199" t="s">
        <v>56</v>
      </c>
      <c r="F199" s="2">
        <v>45813</v>
      </c>
      <c r="G199" s="2">
        <v>45814</v>
      </c>
      <c r="H199" t="s">
        <v>41</v>
      </c>
      <c r="I199" t="s">
        <v>62</v>
      </c>
      <c r="J199" s="2">
        <v>45816</v>
      </c>
      <c r="K199" s="2">
        <v>45817</v>
      </c>
      <c r="L199" t="s">
        <v>26</v>
      </c>
      <c r="M199" t="s">
        <v>27</v>
      </c>
      <c r="O199" t="s">
        <v>81</v>
      </c>
      <c r="P199" t="s">
        <v>93</v>
      </c>
      <c r="Q199">
        <f t="shared" si="12"/>
        <v>0</v>
      </c>
      <c r="R199" s="3">
        <f t="shared" si="13"/>
        <v>3</v>
      </c>
      <c r="S199">
        <f t="shared" si="14"/>
        <v>0</v>
      </c>
      <c r="T199">
        <f t="shared" si="15"/>
        <v>0</v>
      </c>
    </row>
    <row r="200" spans="1:20" x14ac:dyDescent="0.25">
      <c r="A200" t="s">
        <v>266</v>
      </c>
      <c r="B200">
        <v>199</v>
      </c>
      <c r="C200" t="s">
        <v>51</v>
      </c>
      <c r="D200" t="s">
        <v>52</v>
      </c>
      <c r="E200" t="s">
        <v>53</v>
      </c>
      <c r="F200" s="2">
        <v>45905</v>
      </c>
      <c r="G200" s="2">
        <v>45906</v>
      </c>
      <c r="H200" t="s">
        <v>45</v>
      </c>
      <c r="I200" t="s">
        <v>54</v>
      </c>
      <c r="J200" s="2">
        <v>45907</v>
      </c>
      <c r="K200" s="2">
        <v>45907</v>
      </c>
      <c r="L200" t="s">
        <v>26</v>
      </c>
      <c r="M200" t="s">
        <v>27</v>
      </c>
      <c r="O200" t="s">
        <v>28</v>
      </c>
      <c r="Q200">
        <f t="shared" si="12"/>
        <v>1</v>
      </c>
      <c r="R200" s="3">
        <f t="shared" si="13"/>
        <v>2</v>
      </c>
      <c r="S200">
        <f t="shared" si="14"/>
        <v>0</v>
      </c>
      <c r="T200">
        <f t="shared" si="15"/>
        <v>0</v>
      </c>
    </row>
    <row r="201" spans="1:20" x14ac:dyDescent="0.25">
      <c r="A201" t="s">
        <v>267</v>
      </c>
      <c r="B201">
        <v>200</v>
      </c>
      <c r="C201" t="s">
        <v>21</v>
      </c>
      <c r="D201" t="s">
        <v>52</v>
      </c>
      <c r="E201" t="s">
        <v>40</v>
      </c>
      <c r="F201" s="2">
        <v>45915</v>
      </c>
      <c r="G201" s="2">
        <v>45917</v>
      </c>
      <c r="H201" t="s">
        <v>24</v>
      </c>
      <c r="I201" t="s">
        <v>25</v>
      </c>
      <c r="J201" s="2">
        <v>45922</v>
      </c>
      <c r="K201" s="2">
        <v>45922</v>
      </c>
      <c r="L201" t="s">
        <v>46</v>
      </c>
      <c r="M201" t="s">
        <v>27</v>
      </c>
      <c r="O201" t="s">
        <v>34</v>
      </c>
      <c r="Q201">
        <f t="shared" si="12"/>
        <v>1</v>
      </c>
      <c r="R201" s="3">
        <f t="shared" si="13"/>
        <v>7</v>
      </c>
      <c r="S201">
        <f t="shared" si="14"/>
        <v>0</v>
      </c>
      <c r="T201">
        <f t="shared" si="15"/>
        <v>1</v>
      </c>
    </row>
    <row r="202" spans="1:20" x14ac:dyDescent="0.25">
      <c r="A202" t="s">
        <v>268</v>
      </c>
      <c r="B202">
        <v>201</v>
      </c>
      <c r="C202" t="s">
        <v>59</v>
      </c>
      <c r="D202" t="s">
        <v>52</v>
      </c>
      <c r="E202" t="s">
        <v>40</v>
      </c>
      <c r="F202" s="2">
        <v>45956</v>
      </c>
      <c r="G202" s="2">
        <v>45956</v>
      </c>
      <c r="H202" t="s">
        <v>31</v>
      </c>
      <c r="I202" t="s">
        <v>54</v>
      </c>
      <c r="J202" s="2">
        <v>45962</v>
      </c>
      <c r="K202" s="2">
        <v>45962</v>
      </c>
      <c r="L202" t="s">
        <v>26</v>
      </c>
      <c r="M202" t="s">
        <v>27</v>
      </c>
      <c r="O202" t="s">
        <v>43</v>
      </c>
      <c r="P202" t="s">
        <v>76</v>
      </c>
      <c r="Q202">
        <f t="shared" si="12"/>
        <v>1</v>
      </c>
      <c r="R202" s="3">
        <f t="shared" si="13"/>
        <v>6</v>
      </c>
      <c r="S202">
        <f t="shared" si="14"/>
        <v>0</v>
      </c>
      <c r="T202">
        <f t="shared" si="15"/>
        <v>0</v>
      </c>
    </row>
    <row r="203" spans="1:20" x14ac:dyDescent="0.25">
      <c r="A203" t="s">
        <v>269</v>
      </c>
      <c r="B203">
        <v>202</v>
      </c>
      <c r="C203" t="s">
        <v>51</v>
      </c>
      <c r="D203" t="s">
        <v>52</v>
      </c>
      <c r="E203" t="s">
        <v>40</v>
      </c>
      <c r="F203" s="2">
        <v>45685</v>
      </c>
      <c r="G203" s="2">
        <v>45685</v>
      </c>
      <c r="H203" t="s">
        <v>24</v>
      </c>
      <c r="I203" t="s">
        <v>25</v>
      </c>
      <c r="J203" s="2">
        <v>45689</v>
      </c>
      <c r="K203" s="2">
        <v>45689</v>
      </c>
      <c r="L203" t="s">
        <v>26</v>
      </c>
      <c r="M203" t="s">
        <v>57</v>
      </c>
      <c r="O203" t="s">
        <v>69</v>
      </c>
      <c r="Q203">
        <f t="shared" si="12"/>
        <v>1</v>
      </c>
      <c r="R203" s="3">
        <f t="shared" si="13"/>
        <v>4</v>
      </c>
      <c r="S203">
        <f t="shared" si="14"/>
        <v>0</v>
      </c>
      <c r="T203">
        <f t="shared" si="15"/>
        <v>0</v>
      </c>
    </row>
    <row r="204" spans="1:20" x14ac:dyDescent="0.25">
      <c r="A204" t="s">
        <v>270</v>
      </c>
      <c r="B204">
        <v>203</v>
      </c>
      <c r="C204" t="s">
        <v>36</v>
      </c>
      <c r="D204" t="s">
        <v>52</v>
      </c>
      <c r="E204" t="s">
        <v>60</v>
      </c>
      <c r="F204" s="2">
        <v>45934</v>
      </c>
      <c r="G204" s="2">
        <v>45934</v>
      </c>
      <c r="H204" t="s">
        <v>24</v>
      </c>
      <c r="I204" t="s">
        <v>73</v>
      </c>
      <c r="J204" s="2">
        <v>45936</v>
      </c>
      <c r="K204" s="2">
        <v>45936</v>
      </c>
      <c r="L204" t="s">
        <v>26</v>
      </c>
      <c r="M204" t="s">
        <v>57</v>
      </c>
      <c r="O204" t="s">
        <v>28</v>
      </c>
      <c r="Q204">
        <f t="shared" si="12"/>
        <v>1</v>
      </c>
      <c r="R204" s="3">
        <f t="shared" si="13"/>
        <v>2</v>
      </c>
      <c r="S204">
        <f t="shared" si="14"/>
        <v>0</v>
      </c>
      <c r="T204">
        <f t="shared" si="15"/>
        <v>0</v>
      </c>
    </row>
    <row r="205" spans="1:20" x14ac:dyDescent="0.25">
      <c r="A205" t="s">
        <v>271</v>
      </c>
      <c r="B205">
        <v>204</v>
      </c>
      <c r="C205" t="s">
        <v>78</v>
      </c>
      <c r="D205" t="s">
        <v>64</v>
      </c>
      <c r="E205" t="s">
        <v>56</v>
      </c>
      <c r="F205" s="2">
        <v>46009</v>
      </c>
      <c r="G205" s="2">
        <v>46011</v>
      </c>
      <c r="H205" t="s">
        <v>61</v>
      </c>
      <c r="I205" t="s">
        <v>85</v>
      </c>
      <c r="J205" s="2">
        <v>46016</v>
      </c>
      <c r="K205" s="2">
        <v>46016</v>
      </c>
      <c r="L205" t="s">
        <v>46</v>
      </c>
      <c r="M205" t="s">
        <v>27</v>
      </c>
      <c r="O205" t="s">
        <v>69</v>
      </c>
      <c r="Q205">
        <f t="shared" si="12"/>
        <v>1</v>
      </c>
      <c r="R205" s="3">
        <f t="shared" si="13"/>
        <v>7</v>
      </c>
      <c r="S205">
        <f t="shared" si="14"/>
        <v>0</v>
      </c>
      <c r="T205">
        <f t="shared" si="15"/>
        <v>1</v>
      </c>
    </row>
    <row r="206" spans="1:20" x14ac:dyDescent="0.25">
      <c r="A206" t="s">
        <v>272</v>
      </c>
      <c r="B206">
        <v>205</v>
      </c>
      <c r="C206" t="s">
        <v>59</v>
      </c>
      <c r="D206" t="s">
        <v>30</v>
      </c>
      <c r="E206" t="s">
        <v>56</v>
      </c>
      <c r="F206" s="2">
        <v>45915</v>
      </c>
      <c r="G206" s="2">
        <v>45917</v>
      </c>
      <c r="H206" t="s">
        <v>45</v>
      </c>
      <c r="I206" t="s">
        <v>62</v>
      </c>
      <c r="J206" s="2">
        <v>45919</v>
      </c>
      <c r="K206" s="2">
        <v>45919</v>
      </c>
      <c r="L206" t="s">
        <v>26</v>
      </c>
      <c r="M206" t="s">
        <v>27</v>
      </c>
      <c r="O206" t="s">
        <v>43</v>
      </c>
      <c r="Q206">
        <f t="shared" si="12"/>
        <v>1</v>
      </c>
      <c r="R206" s="3">
        <f t="shared" si="13"/>
        <v>4</v>
      </c>
      <c r="S206">
        <f t="shared" si="14"/>
        <v>0</v>
      </c>
      <c r="T206">
        <f t="shared" si="15"/>
        <v>0</v>
      </c>
    </row>
    <row r="207" spans="1:20" x14ac:dyDescent="0.25">
      <c r="A207" t="s">
        <v>273</v>
      </c>
      <c r="B207">
        <v>206</v>
      </c>
      <c r="C207" t="s">
        <v>78</v>
      </c>
      <c r="D207" t="s">
        <v>30</v>
      </c>
      <c r="E207" t="s">
        <v>60</v>
      </c>
      <c r="F207" s="2">
        <v>45800</v>
      </c>
      <c r="G207" s="2">
        <v>45802</v>
      </c>
      <c r="H207" t="s">
        <v>41</v>
      </c>
      <c r="I207" t="s">
        <v>83</v>
      </c>
      <c r="J207" s="2">
        <v>45803</v>
      </c>
      <c r="K207" s="2">
        <v>45803</v>
      </c>
      <c r="L207" t="s">
        <v>46</v>
      </c>
      <c r="M207" t="s">
        <v>27</v>
      </c>
      <c r="O207" t="s">
        <v>69</v>
      </c>
      <c r="P207" t="s">
        <v>71</v>
      </c>
      <c r="Q207">
        <f t="shared" si="12"/>
        <v>1</v>
      </c>
      <c r="R207" s="3">
        <f t="shared" si="13"/>
        <v>3</v>
      </c>
      <c r="S207">
        <f t="shared" si="14"/>
        <v>0</v>
      </c>
      <c r="T207">
        <f t="shared" si="15"/>
        <v>1</v>
      </c>
    </row>
    <row r="208" spans="1:20" x14ac:dyDescent="0.25">
      <c r="A208" t="s">
        <v>274</v>
      </c>
      <c r="B208">
        <v>207</v>
      </c>
      <c r="C208" t="s">
        <v>51</v>
      </c>
      <c r="D208" t="s">
        <v>30</v>
      </c>
      <c r="E208" t="s">
        <v>60</v>
      </c>
      <c r="F208" s="2">
        <v>45912</v>
      </c>
      <c r="G208" s="2">
        <v>45914</v>
      </c>
      <c r="H208" t="s">
        <v>24</v>
      </c>
      <c r="I208" t="s">
        <v>25</v>
      </c>
      <c r="J208" s="2">
        <v>45918</v>
      </c>
      <c r="K208" s="2">
        <v>45918</v>
      </c>
      <c r="L208" t="s">
        <v>26</v>
      </c>
      <c r="M208" t="s">
        <v>57</v>
      </c>
      <c r="O208" t="s">
        <v>37</v>
      </c>
      <c r="Q208">
        <f t="shared" si="12"/>
        <v>1</v>
      </c>
      <c r="R208" s="3">
        <f t="shared" si="13"/>
        <v>6</v>
      </c>
      <c r="S208">
        <f t="shared" si="14"/>
        <v>0</v>
      </c>
      <c r="T208">
        <f t="shared" si="15"/>
        <v>0</v>
      </c>
    </row>
    <row r="209" spans="1:20" x14ac:dyDescent="0.25">
      <c r="A209" t="s">
        <v>275</v>
      </c>
      <c r="B209">
        <v>208</v>
      </c>
      <c r="C209" t="s">
        <v>51</v>
      </c>
      <c r="D209" t="s">
        <v>64</v>
      </c>
      <c r="E209" t="s">
        <v>53</v>
      </c>
      <c r="F209" s="2">
        <v>45934</v>
      </c>
      <c r="G209" s="2">
        <v>45935</v>
      </c>
      <c r="H209" t="s">
        <v>24</v>
      </c>
      <c r="I209" t="s">
        <v>62</v>
      </c>
      <c r="J209" s="2">
        <v>45936</v>
      </c>
      <c r="K209" s="2">
        <v>45936</v>
      </c>
      <c r="L209" t="s">
        <v>26</v>
      </c>
      <c r="M209" t="s">
        <v>57</v>
      </c>
      <c r="O209" t="s">
        <v>37</v>
      </c>
      <c r="Q209">
        <f t="shared" si="12"/>
        <v>1</v>
      </c>
      <c r="R209" s="3">
        <f t="shared" si="13"/>
        <v>2</v>
      </c>
      <c r="S209">
        <f t="shared" si="14"/>
        <v>0</v>
      </c>
      <c r="T209">
        <f t="shared" si="15"/>
        <v>0</v>
      </c>
    </row>
    <row r="210" spans="1:20" x14ac:dyDescent="0.25">
      <c r="A210" t="s">
        <v>276</v>
      </c>
      <c r="B210">
        <v>209</v>
      </c>
      <c r="C210" t="s">
        <v>59</v>
      </c>
      <c r="D210" t="s">
        <v>39</v>
      </c>
      <c r="E210" t="s">
        <v>40</v>
      </c>
      <c r="F210" s="2">
        <v>45926</v>
      </c>
      <c r="G210" s="2">
        <v>45927</v>
      </c>
      <c r="H210" t="s">
        <v>24</v>
      </c>
      <c r="I210" t="s">
        <v>25</v>
      </c>
      <c r="J210" s="2">
        <v>45930</v>
      </c>
      <c r="K210" s="2">
        <v>45930</v>
      </c>
      <c r="L210" t="s">
        <v>26</v>
      </c>
      <c r="M210" t="s">
        <v>57</v>
      </c>
      <c r="O210" t="s">
        <v>37</v>
      </c>
      <c r="Q210">
        <f t="shared" si="12"/>
        <v>1</v>
      </c>
      <c r="R210" s="3">
        <f t="shared" si="13"/>
        <v>4</v>
      </c>
      <c r="S210">
        <f t="shared" si="14"/>
        <v>0</v>
      </c>
      <c r="T210">
        <f t="shared" si="15"/>
        <v>0</v>
      </c>
    </row>
    <row r="211" spans="1:20" x14ac:dyDescent="0.25">
      <c r="A211" t="s">
        <v>277</v>
      </c>
      <c r="B211">
        <v>210</v>
      </c>
      <c r="C211" t="s">
        <v>36</v>
      </c>
      <c r="D211" t="s">
        <v>39</v>
      </c>
      <c r="E211" t="s">
        <v>60</v>
      </c>
      <c r="F211" s="2">
        <v>45721</v>
      </c>
      <c r="G211" s="2">
        <v>45722</v>
      </c>
      <c r="H211" t="s">
        <v>31</v>
      </c>
      <c r="I211" t="s">
        <v>85</v>
      </c>
      <c r="J211" s="2">
        <v>45723</v>
      </c>
      <c r="K211" s="2">
        <v>45723</v>
      </c>
      <c r="L211" t="s">
        <v>46</v>
      </c>
      <c r="M211" t="s">
        <v>57</v>
      </c>
      <c r="O211" t="s">
        <v>37</v>
      </c>
      <c r="Q211">
        <f t="shared" si="12"/>
        <v>1</v>
      </c>
      <c r="R211" s="3">
        <f t="shared" si="13"/>
        <v>2</v>
      </c>
      <c r="S211">
        <f t="shared" si="14"/>
        <v>0</v>
      </c>
      <c r="T211">
        <f t="shared" si="15"/>
        <v>1</v>
      </c>
    </row>
    <row r="212" spans="1:20" x14ac:dyDescent="0.25">
      <c r="A212" t="s">
        <v>278</v>
      </c>
      <c r="B212">
        <v>211</v>
      </c>
      <c r="C212" t="s">
        <v>21</v>
      </c>
      <c r="D212" t="s">
        <v>39</v>
      </c>
      <c r="E212" t="s">
        <v>40</v>
      </c>
      <c r="F212" s="2">
        <v>46006</v>
      </c>
      <c r="G212" s="2">
        <v>46007</v>
      </c>
      <c r="H212" t="s">
        <v>61</v>
      </c>
      <c r="I212" t="s">
        <v>42</v>
      </c>
      <c r="J212" s="2">
        <v>46008</v>
      </c>
      <c r="K212" s="2">
        <v>46008</v>
      </c>
      <c r="L212" t="s">
        <v>26</v>
      </c>
      <c r="M212" t="s">
        <v>27</v>
      </c>
      <c r="O212" t="s">
        <v>81</v>
      </c>
      <c r="Q212">
        <f t="shared" si="12"/>
        <v>1</v>
      </c>
      <c r="R212" s="3">
        <f t="shared" si="13"/>
        <v>2</v>
      </c>
      <c r="S212">
        <f t="shared" si="14"/>
        <v>0</v>
      </c>
      <c r="T212">
        <f t="shared" si="15"/>
        <v>0</v>
      </c>
    </row>
    <row r="213" spans="1:20" x14ac:dyDescent="0.25">
      <c r="A213" t="s">
        <v>279</v>
      </c>
      <c r="B213">
        <v>212</v>
      </c>
      <c r="C213" t="s">
        <v>78</v>
      </c>
      <c r="D213" t="s">
        <v>22</v>
      </c>
      <c r="E213" t="s">
        <v>53</v>
      </c>
      <c r="F213" s="2">
        <v>46002</v>
      </c>
      <c r="G213" s="2">
        <v>46004</v>
      </c>
      <c r="H213" t="s">
        <v>31</v>
      </c>
      <c r="I213" t="s">
        <v>54</v>
      </c>
      <c r="J213" s="2">
        <v>46007</v>
      </c>
      <c r="K213" s="2">
        <v>46009</v>
      </c>
      <c r="L213" t="s">
        <v>46</v>
      </c>
      <c r="M213" t="s">
        <v>32</v>
      </c>
      <c r="N213" t="s">
        <v>75</v>
      </c>
      <c r="O213" t="s">
        <v>43</v>
      </c>
      <c r="Q213">
        <f t="shared" si="12"/>
        <v>0</v>
      </c>
      <c r="R213" s="3">
        <f t="shared" si="13"/>
        <v>5</v>
      </c>
      <c r="S213">
        <f t="shared" si="14"/>
        <v>1</v>
      </c>
      <c r="T213">
        <f t="shared" si="15"/>
        <v>1</v>
      </c>
    </row>
    <row r="214" spans="1:20" x14ac:dyDescent="0.25">
      <c r="A214" t="s">
        <v>280</v>
      </c>
      <c r="B214">
        <v>213</v>
      </c>
      <c r="C214" t="s">
        <v>51</v>
      </c>
      <c r="D214" t="s">
        <v>39</v>
      </c>
      <c r="E214" t="s">
        <v>53</v>
      </c>
      <c r="F214" s="2">
        <v>45859</v>
      </c>
      <c r="G214" s="2">
        <v>45859</v>
      </c>
      <c r="H214" t="s">
        <v>45</v>
      </c>
      <c r="I214" t="s">
        <v>25</v>
      </c>
      <c r="J214" s="2">
        <v>45863</v>
      </c>
      <c r="K214" s="2">
        <v>45863</v>
      </c>
      <c r="L214" t="s">
        <v>26</v>
      </c>
      <c r="M214" t="s">
        <v>27</v>
      </c>
      <c r="O214" t="s">
        <v>43</v>
      </c>
      <c r="Q214">
        <f t="shared" si="12"/>
        <v>1</v>
      </c>
      <c r="R214" s="3">
        <f t="shared" si="13"/>
        <v>4</v>
      </c>
      <c r="S214">
        <f t="shared" si="14"/>
        <v>0</v>
      </c>
      <c r="T214">
        <f t="shared" si="15"/>
        <v>0</v>
      </c>
    </row>
    <row r="215" spans="1:20" x14ac:dyDescent="0.25">
      <c r="A215" t="s">
        <v>281</v>
      </c>
      <c r="B215">
        <v>214</v>
      </c>
      <c r="C215" t="s">
        <v>51</v>
      </c>
      <c r="D215" t="s">
        <v>30</v>
      </c>
      <c r="E215" t="s">
        <v>53</v>
      </c>
      <c r="F215" s="2">
        <v>45925</v>
      </c>
      <c r="G215" s="2">
        <v>45925</v>
      </c>
      <c r="H215" t="s">
        <v>24</v>
      </c>
      <c r="I215" t="s">
        <v>85</v>
      </c>
      <c r="J215" s="2">
        <v>45926</v>
      </c>
      <c r="K215" s="2">
        <v>45926</v>
      </c>
      <c r="L215" t="s">
        <v>26</v>
      </c>
      <c r="M215" t="s">
        <v>27</v>
      </c>
      <c r="O215" t="s">
        <v>81</v>
      </c>
      <c r="P215" t="s">
        <v>88</v>
      </c>
      <c r="Q215">
        <f t="shared" si="12"/>
        <v>1</v>
      </c>
      <c r="R215" s="3">
        <f t="shared" si="13"/>
        <v>1</v>
      </c>
      <c r="S215">
        <f t="shared" si="14"/>
        <v>0</v>
      </c>
      <c r="T215">
        <f t="shared" si="15"/>
        <v>0</v>
      </c>
    </row>
    <row r="216" spans="1:20" x14ac:dyDescent="0.25">
      <c r="A216" t="s">
        <v>282</v>
      </c>
      <c r="B216">
        <v>215</v>
      </c>
      <c r="C216" t="s">
        <v>51</v>
      </c>
      <c r="D216" t="s">
        <v>52</v>
      </c>
      <c r="E216" t="s">
        <v>53</v>
      </c>
      <c r="F216" s="2">
        <v>45674</v>
      </c>
      <c r="G216" s="2">
        <v>45676</v>
      </c>
      <c r="H216" t="s">
        <v>24</v>
      </c>
      <c r="I216" t="s">
        <v>85</v>
      </c>
      <c r="J216" s="2">
        <v>45680</v>
      </c>
      <c r="K216" s="2">
        <v>45680</v>
      </c>
      <c r="L216" t="s">
        <v>46</v>
      </c>
      <c r="M216" t="s">
        <v>27</v>
      </c>
      <c r="O216" t="s">
        <v>34</v>
      </c>
      <c r="Q216">
        <f t="shared" si="12"/>
        <v>1</v>
      </c>
      <c r="R216" s="3">
        <f t="shared" si="13"/>
        <v>6</v>
      </c>
      <c r="S216">
        <f t="shared" si="14"/>
        <v>0</v>
      </c>
      <c r="T216">
        <f t="shared" si="15"/>
        <v>1</v>
      </c>
    </row>
    <row r="217" spans="1:20" x14ac:dyDescent="0.25">
      <c r="A217" t="s">
        <v>283</v>
      </c>
      <c r="B217">
        <v>216</v>
      </c>
      <c r="C217" t="s">
        <v>51</v>
      </c>
      <c r="D217" t="s">
        <v>52</v>
      </c>
      <c r="E217" t="s">
        <v>56</v>
      </c>
      <c r="F217" s="2">
        <v>45998</v>
      </c>
      <c r="G217" s="2">
        <v>45998</v>
      </c>
      <c r="H217" t="s">
        <v>31</v>
      </c>
      <c r="I217" t="s">
        <v>85</v>
      </c>
      <c r="J217" s="2">
        <v>46002</v>
      </c>
      <c r="K217" s="2">
        <v>46002</v>
      </c>
      <c r="L217" t="s">
        <v>26</v>
      </c>
      <c r="M217" t="s">
        <v>27</v>
      </c>
      <c r="O217" t="s">
        <v>43</v>
      </c>
      <c r="Q217">
        <f t="shared" si="12"/>
        <v>1</v>
      </c>
      <c r="R217" s="3">
        <f t="shared" si="13"/>
        <v>4</v>
      </c>
      <c r="S217">
        <f t="shared" si="14"/>
        <v>0</v>
      </c>
      <c r="T217">
        <f t="shared" si="15"/>
        <v>0</v>
      </c>
    </row>
    <row r="218" spans="1:20" x14ac:dyDescent="0.25">
      <c r="A218" t="s">
        <v>284</v>
      </c>
      <c r="B218">
        <v>217</v>
      </c>
      <c r="C218" t="s">
        <v>78</v>
      </c>
      <c r="D218" t="s">
        <v>39</v>
      </c>
      <c r="E218" t="s">
        <v>40</v>
      </c>
      <c r="F218" s="2">
        <v>45980</v>
      </c>
      <c r="G218" s="2">
        <v>45982</v>
      </c>
      <c r="H218" t="s">
        <v>45</v>
      </c>
      <c r="I218" t="s">
        <v>25</v>
      </c>
      <c r="J218" s="2">
        <v>45984</v>
      </c>
      <c r="K218" s="2">
        <v>45984</v>
      </c>
      <c r="L218" t="s">
        <v>26</v>
      </c>
      <c r="M218" t="s">
        <v>57</v>
      </c>
      <c r="O218" t="s">
        <v>81</v>
      </c>
      <c r="P218" t="s">
        <v>93</v>
      </c>
      <c r="Q218">
        <f t="shared" si="12"/>
        <v>1</v>
      </c>
      <c r="R218" s="3">
        <f t="shared" si="13"/>
        <v>4</v>
      </c>
      <c r="S218">
        <f t="shared" si="14"/>
        <v>0</v>
      </c>
      <c r="T218">
        <f t="shared" si="15"/>
        <v>0</v>
      </c>
    </row>
    <row r="219" spans="1:20" x14ac:dyDescent="0.25">
      <c r="A219" t="s">
        <v>285</v>
      </c>
      <c r="B219">
        <v>218</v>
      </c>
      <c r="C219" t="s">
        <v>59</v>
      </c>
      <c r="D219" t="s">
        <v>64</v>
      </c>
      <c r="E219" t="s">
        <v>53</v>
      </c>
      <c r="F219" s="2">
        <v>45924</v>
      </c>
      <c r="G219" s="2">
        <v>45924</v>
      </c>
      <c r="H219" t="s">
        <v>31</v>
      </c>
      <c r="I219" t="s">
        <v>83</v>
      </c>
      <c r="J219" s="2">
        <v>45927</v>
      </c>
      <c r="K219" s="2">
        <v>45927</v>
      </c>
      <c r="L219" t="s">
        <v>26</v>
      </c>
      <c r="M219" t="s">
        <v>27</v>
      </c>
      <c r="O219" t="s">
        <v>81</v>
      </c>
      <c r="Q219">
        <f t="shared" si="12"/>
        <v>1</v>
      </c>
      <c r="R219" s="3">
        <f t="shared" si="13"/>
        <v>3</v>
      </c>
      <c r="S219">
        <f t="shared" si="14"/>
        <v>0</v>
      </c>
      <c r="T219">
        <f t="shared" si="15"/>
        <v>0</v>
      </c>
    </row>
    <row r="220" spans="1:20" x14ac:dyDescent="0.25">
      <c r="A220" t="s">
        <v>286</v>
      </c>
      <c r="B220">
        <v>219</v>
      </c>
      <c r="C220" t="s">
        <v>51</v>
      </c>
      <c r="D220" t="s">
        <v>52</v>
      </c>
      <c r="E220" t="s">
        <v>23</v>
      </c>
      <c r="F220" s="2">
        <v>45937</v>
      </c>
      <c r="G220" s="2">
        <v>45939</v>
      </c>
      <c r="H220" t="s">
        <v>61</v>
      </c>
      <c r="I220" t="s">
        <v>25</v>
      </c>
      <c r="J220" s="2">
        <v>45940</v>
      </c>
      <c r="K220" s="2">
        <v>45943</v>
      </c>
      <c r="L220" t="s">
        <v>26</v>
      </c>
      <c r="M220" t="s">
        <v>32</v>
      </c>
      <c r="N220" t="s">
        <v>47</v>
      </c>
      <c r="O220" t="s">
        <v>28</v>
      </c>
      <c r="Q220">
        <f t="shared" si="12"/>
        <v>0</v>
      </c>
      <c r="R220" s="3">
        <f t="shared" si="13"/>
        <v>3</v>
      </c>
      <c r="S220">
        <f t="shared" si="14"/>
        <v>1</v>
      </c>
      <c r="T220">
        <f t="shared" si="15"/>
        <v>0</v>
      </c>
    </row>
    <row r="221" spans="1:20" x14ac:dyDescent="0.25">
      <c r="A221" t="s">
        <v>287</v>
      </c>
      <c r="B221">
        <v>220</v>
      </c>
      <c r="C221" t="s">
        <v>59</v>
      </c>
      <c r="D221" t="s">
        <v>30</v>
      </c>
      <c r="E221" t="s">
        <v>53</v>
      </c>
      <c r="F221" s="2">
        <v>45737</v>
      </c>
      <c r="G221" s="2">
        <v>45737</v>
      </c>
      <c r="H221" t="s">
        <v>45</v>
      </c>
      <c r="I221" t="s">
        <v>73</v>
      </c>
      <c r="J221" s="2">
        <v>45740</v>
      </c>
      <c r="K221" s="2">
        <v>45740</v>
      </c>
      <c r="L221" t="s">
        <v>46</v>
      </c>
      <c r="M221" t="s">
        <v>57</v>
      </c>
      <c r="O221" t="s">
        <v>34</v>
      </c>
      <c r="P221" t="s">
        <v>76</v>
      </c>
      <c r="Q221">
        <f t="shared" si="12"/>
        <v>1</v>
      </c>
      <c r="R221" s="3">
        <f t="shared" si="13"/>
        <v>3</v>
      </c>
      <c r="S221">
        <f t="shared" si="14"/>
        <v>0</v>
      </c>
      <c r="T221">
        <f t="shared" si="15"/>
        <v>1</v>
      </c>
    </row>
    <row r="222" spans="1:20" x14ac:dyDescent="0.25">
      <c r="A222" t="s">
        <v>288</v>
      </c>
      <c r="B222">
        <v>221</v>
      </c>
      <c r="C222" t="s">
        <v>51</v>
      </c>
      <c r="D222" t="s">
        <v>64</v>
      </c>
      <c r="E222" t="s">
        <v>53</v>
      </c>
      <c r="F222" s="2">
        <v>45798</v>
      </c>
      <c r="G222" s="2">
        <v>45800</v>
      </c>
      <c r="H222" t="s">
        <v>41</v>
      </c>
      <c r="I222" t="s">
        <v>85</v>
      </c>
      <c r="J222" s="2">
        <v>45804</v>
      </c>
      <c r="K222" s="2">
        <v>45807</v>
      </c>
      <c r="L222" t="s">
        <v>26</v>
      </c>
      <c r="M222" t="s">
        <v>32</v>
      </c>
      <c r="N222" t="s">
        <v>49</v>
      </c>
      <c r="O222" t="s">
        <v>28</v>
      </c>
      <c r="Q222">
        <f t="shared" si="12"/>
        <v>0</v>
      </c>
      <c r="R222" s="3">
        <f t="shared" si="13"/>
        <v>6</v>
      </c>
      <c r="S222">
        <f t="shared" si="14"/>
        <v>1</v>
      </c>
      <c r="T222">
        <f t="shared" si="15"/>
        <v>0</v>
      </c>
    </row>
    <row r="223" spans="1:20" x14ac:dyDescent="0.25">
      <c r="A223" t="s">
        <v>289</v>
      </c>
      <c r="B223">
        <v>222</v>
      </c>
      <c r="C223" t="s">
        <v>36</v>
      </c>
      <c r="D223" t="s">
        <v>39</v>
      </c>
      <c r="E223" t="s">
        <v>60</v>
      </c>
      <c r="F223" s="2">
        <v>45771</v>
      </c>
      <c r="G223" s="2">
        <v>45772</v>
      </c>
      <c r="H223" t="s">
        <v>31</v>
      </c>
      <c r="I223" t="s">
        <v>85</v>
      </c>
      <c r="J223" s="2">
        <v>45773</v>
      </c>
      <c r="K223" s="2">
        <v>45773</v>
      </c>
      <c r="L223" t="s">
        <v>26</v>
      </c>
      <c r="M223" t="s">
        <v>57</v>
      </c>
      <c r="O223" t="s">
        <v>28</v>
      </c>
      <c r="Q223">
        <f t="shared" si="12"/>
        <v>1</v>
      </c>
      <c r="R223" s="3">
        <f t="shared" si="13"/>
        <v>2</v>
      </c>
      <c r="S223">
        <f t="shared" si="14"/>
        <v>0</v>
      </c>
      <c r="T223">
        <f t="shared" si="15"/>
        <v>0</v>
      </c>
    </row>
    <row r="224" spans="1:20" x14ac:dyDescent="0.25">
      <c r="A224" t="s">
        <v>290</v>
      </c>
      <c r="B224">
        <v>223</v>
      </c>
      <c r="C224" t="s">
        <v>36</v>
      </c>
      <c r="D224" t="s">
        <v>30</v>
      </c>
      <c r="E224" t="s">
        <v>53</v>
      </c>
      <c r="F224" s="2">
        <v>45918</v>
      </c>
      <c r="G224" s="2">
        <v>45918</v>
      </c>
      <c r="H224" t="s">
        <v>41</v>
      </c>
      <c r="I224" t="s">
        <v>85</v>
      </c>
      <c r="J224" s="2">
        <v>45921</v>
      </c>
      <c r="K224" s="2">
        <v>45921</v>
      </c>
      <c r="L224" t="s">
        <v>26</v>
      </c>
      <c r="M224" t="s">
        <v>57</v>
      </c>
      <c r="O224" t="s">
        <v>28</v>
      </c>
      <c r="Q224">
        <f t="shared" si="12"/>
        <v>1</v>
      </c>
      <c r="R224" s="3">
        <f t="shared" si="13"/>
        <v>3</v>
      </c>
      <c r="S224">
        <f t="shared" si="14"/>
        <v>0</v>
      </c>
      <c r="T224">
        <f t="shared" si="15"/>
        <v>0</v>
      </c>
    </row>
    <row r="225" spans="1:20" x14ac:dyDescent="0.25">
      <c r="A225" t="s">
        <v>291</v>
      </c>
      <c r="B225">
        <v>224</v>
      </c>
      <c r="C225" t="s">
        <v>59</v>
      </c>
      <c r="D225" t="s">
        <v>39</v>
      </c>
      <c r="E225" t="s">
        <v>23</v>
      </c>
      <c r="F225" s="2">
        <v>45706</v>
      </c>
      <c r="G225" s="2">
        <v>45707</v>
      </c>
      <c r="H225" t="s">
        <v>31</v>
      </c>
      <c r="I225" t="s">
        <v>54</v>
      </c>
      <c r="J225" s="2">
        <v>45710</v>
      </c>
      <c r="K225" s="2">
        <v>45710</v>
      </c>
      <c r="L225" t="s">
        <v>26</v>
      </c>
      <c r="M225" t="s">
        <v>57</v>
      </c>
      <c r="O225" t="s">
        <v>28</v>
      </c>
      <c r="Q225">
        <f t="shared" si="12"/>
        <v>1</v>
      </c>
      <c r="R225" s="3">
        <f t="shared" si="13"/>
        <v>4</v>
      </c>
      <c r="S225">
        <f t="shared" si="14"/>
        <v>0</v>
      </c>
      <c r="T225">
        <f t="shared" si="15"/>
        <v>0</v>
      </c>
    </row>
    <row r="226" spans="1:20" x14ac:dyDescent="0.25">
      <c r="A226" t="s">
        <v>292</v>
      </c>
      <c r="B226">
        <v>225</v>
      </c>
      <c r="C226" t="s">
        <v>36</v>
      </c>
      <c r="D226" t="s">
        <v>52</v>
      </c>
      <c r="E226" t="s">
        <v>40</v>
      </c>
      <c r="F226" s="2">
        <v>45994</v>
      </c>
      <c r="G226" s="2">
        <v>45994</v>
      </c>
      <c r="H226" t="s">
        <v>61</v>
      </c>
      <c r="I226" t="s">
        <v>25</v>
      </c>
      <c r="J226" s="2">
        <v>45996</v>
      </c>
      <c r="K226" s="2">
        <v>45996</v>
      </c>
      <c r="L226" t="s">
        <v>46</v>
      </c>
      <c r="M226" t="s">
        <v>57</v>
      </c>
      <c r="O226" t="s">
        <v>81</v>
      </c>
      <c r="P226" t="s">
        <v>71</v>
      </c>
      <c r="Q226">
        <f t="shared" si="12"/>
        <v>1</v>
      </c>
      <c r="R226" s="3">
        <f t="shared" si="13"/>
        <v>2</v>
      </c>
      <c r="S226">
        <f t="shared" si="14"/>
        <v>0</v>
      </c>
      <c r="T226">
        <f t="shared" si="15"/>
        <v>1</v>
      </c>
    </row>
    <row r="227" spans="1:20" x14ac:dyDescent="0.25">
      <c r="A227" t="s">
        <v>293</v>
      </c>
      <c r="B227">
        <v>226</v>
      </c>
      <c r="C227" t="s">
        <v>59</v>
      </c>
      <c r="D227" t="s">
        <v>39</v>
      </c>
      <c r="E227" t="s">
        <v>60</v>
      </c>
      <c r="F227" s="2">
        <v>45855</v>
      </c>
      <c r="G227" s="2">
        <v>45855</v>
      </c>
      <c r="H227" t="s">
        <v>24</v>
      </c>
      <c r="I227" t="s">
        <v>85</v>
      </c>
      <c r="J227" s="2">
        <v>45857</v>
      </c>
      <c r="K227" s="2">
        <v>45857</v>
      </c>
      <c r="L227" t="s">
        <v>26</v>
      </c>
      <c r="M227" t="s">
        <v>57</v>
      </c>
      <c r="O227" t="s">
        <v>34</v>
      </c>
      <c r="Q227">
        <f t="shared" si="12"/>
        <v>1</v>
      </c>
      <c r="R227" s="3">
        <f t="shared" si="13"/>
        <v>2</v>
      </c>
      <c r="S227">
        <f t="shared" si="14"/>
        <v>0</v>
      </c>
      <c r="T227">
        <f t="shared" si="15"/>
        <v>0</v>
      </c>
    </row>
    <row r="228" spans="1:20" x14ac:dyDescent="0.25">
      <c r="A228" t="s">
        <v>294</v>
      </c>
      <c r="B228">
        <v>227</v>
      </c>
      <c r="C228" t="s">
        <v>51</v>
      </c>
      <c r="D228" t="s">
        <v>64</v>
      </c>
      <c r="E228" t="s">
        <v>60</v>
      </c>
      <c r="F228" s="2">
        <v>45839</v>
      </c>
      <c r="G228" s="2">
        <v>45839</v>
      </c>
      <c r="H228" t="s">
        <v>31</v>
      </c>
      <c r="I228" t="s">
        <v>54</v>
      </c>
      <c r="J228" s="2">
        <v>45843</v>
      </c>
      <c r="K228" s="2">
        <v>45843</v>
      </c>
      <c r="L228" t="s">
        <v>26</v>
      </c>
      <c r="M228" t="s">
        <v>57</v>
      </c>
      <c r="O228" t="s">
        <v>34</v>
      </c>
      <c r="Q228">
        <f t="shared" si="12"/>
        <v>1</v>
      </c>
      <c r="R228" s="3">
        <f t="shared" si="13"/>
        <v>4</v>
      </c>
      <c r="S228">
        <f t="shared" si="14"/>
        <v>0</v>
      </c>
      <c r="T228">
        <f t="shared" si="15"/>
        <v>0</v>
      </c>
    </row>
    <row r="229" spans="1:20" x14ac:dyDescent="0.25">
      <c r="A229" t="s">
        <v>295</v>
      </c>
      <c r="B229">
        <v>228</v>
      </c>
      <c r="C229" t="s">
        <v>51</v>
      </c>
      <c r="D229" t="s">
        <v>52</v>
      </c>
      <c r="E229" t="s">
        <v>53</v>
      </c>
      <c r="F229" s="2">
        <v>45697</v>
      </c>
      <c r="G229" s="2">
        <v>45697</v>
      </c>
      <c r="H229" t="s">
        <v>61</v>
      </c>
      <c r="I229" t="s">
        <v>42</v>
      </c>
      <c r="J229" s="2">
        <v>45701</v>
      </c>
      <c r="K229" s="2">
        <v>45701</v>
      </c>
      <c r="L229" t="s">
        <v>26</v>
      </c>
      <c r="M229" t="s">
        <v>57</v>
      </c>
      <c r="O229" t="s">
        <v>34</v>
      </c>
      <c r="P229" t="s">
        <v>71</v>
      </c>
      <c r="Q229">
        <f t="shared" si="12"/>
        <v>1</v>
      </c>
      <c r="R229" s="3">
        <f t="shared" si="13"/>
        <v>4</v>
      </c>
      <c r="S229">
        <f t="shared" si="14"/>
        <v>0</v>
      </c>
      <c r="T229">
        <f t="shared" si="15"/>
        <v>0</v>
      </c>
    </row>
    <row r="230" spans="1:20" x14ac:dyDescent="0.25">
      <c r="A230" t="s">
        <v>296</v>
      </c>
      <c r="B230">
        <v>229</v>
      </c>
      <c r="C230" t="s">
        <v>36</v>
      </c>
      <c r="D230" t="s">
        <v>22</v>
      </c>
      <c r="E230" t="s">
        <v>23</v>
      </c>
      <c r="F230" s="2">
        <v>45946</v>
      </c>
      <c r="G230" s="2">
        <v>45947</v>
      </c>
      <c r="H230" t="s">
        <v>24</v>
      </c>
      <c r="I230" t="s">
        <v>83</v>
      </c>
      <c r="J230" s="2">
        <v>45950</v>
      </c>
      <c r="K230" s="2">
        <v>45950</v>
      </c>
      <c r="L230" t="s">
        <v>26</v>
      </c>
      <c r="M230" t="s">
        <v>27</v>
      </c>
      <c r="O230" t="s">
        <v>34</v>
      </c>
      <c r="Q230">
        <f t="shared" si="12"/>
        <v>1</v>
      </c>
      <c r="R230" s="3">
        <f t="shared" si="13"/>
        <v>4</v>
      </c>
      <c r="S230">
        <f t="shared" si="14"/>
        <v>0</v>
      </c>
      <c r="T230">
        <f t="shared" si="15"/>
        <v>0</v>
      </c>
    </row>
    <row r="231" spans="1:20" x14ac:dyDescent="0.25">
      <c r="A231" t="s">
        <v>297</v>
      </c>
      <c r="B231">
        <v>230</v>
      </c>
      <c r="C231" t="s">
        <v>59</v>
      </c>
      <c r="D231" t="s">
        <v>30</v>
      </c>
      <c r="E231" t="s">
        <v>56</v>
      </c>
      <c r="F231" s="2">
        <v>45976</v>
      </c>
      <c r="G231" s="2">
        <v>45976</v>
      </c>
      <c r="H231" t="s">
        <v>61</v>
      </c>
      <c r="I231" t="s">
        <v>54</v>
      </c>
      <c r="J231" s="2">
        <v>45980</v>
      </c>
      <c r="K231" s="2">
        <v>45980</v>
      </c>
      <c r="L231" t="s">
        <v>26</v>
      </c>
      <c r="M231" t="s">
        <v>57</v>
      </c>
      <c r="O231" t="s">
        <v>81</v>
      </c>
      <c r="Q231">
        <f t="shared" si="12"/>
        <v>1</v>
      </c>
      <c r="R231" s="3">
        <f t="shared" si="13"/>
        <v>4</v>
      </c>
      <c r="S231">
        <f t="shared" si="14"/>
        <v>0</v>
      </c>
      <c r="T231">
        <f t="shared" si="15"/>
        <v>0</v>
      </c>
    </row>
    <row r="232" spans="1:20" x14ac:dyDescent="0.25">
      <c r="A232" t="s">
        <v>298</v>
      </c>
      <c r="B232">
        <v>231</v>
      </c>
      <c r="C232" t="s">
        <v>21</v>
      </c>
      <c r="D232" t="s">
        <v>22</v>
      </c>
      <c r="E232" t="s">
        <v>23</v>
      </c>
      <c r="F232" s="2">
        <v>45901</v>
      </c>
      <c r="G232" s="2">
        <v>45901</v>
      </c>
      <c r="H232" t="s">
        <v>61</v>
      </c>
      <c r="I232" t="s">
        <v>54</v>
      </c>
      <c r="J232" s="2">
        <v>45904</v>
      </c>
      <c r="K232" s="2">
        <v>45904</v>
      </c>
      <c r="L232" t="s">
        <v>46</v>
      </c>
      <c r="M232" t="s">
        <v>57</v>
      </c>
      <c r="O232" t="s">
        <v>37</v>
      </c>
      <c r="Q232">
        <f t="shared" si="12"/>
        <v>1</v>
      </c>
      <c r="R232" s="3">
        <f t="shared" si="13"/>
        <v>3</v>
      </c>
      <c r="S232">
        <f t="shared" si="14"/>
        <v>0</v>
      </c>
      <c r="T232">
        <f t="shared" si="15"/>
        <v>1</v>
      </c>
    </row>
    <row r="233" spans="1:20" x14ac:dyDescent="0.25">
      <c r="A233" t="s">
        <v>299</v>
      </c>
      <c r="B233">
        <v>232</v>
      </c>
      <c r="C233" t="s">
        <v>21</v>
      </c>
      <c r="D233" t="s">
        <v>52</v>
      </c>
      <c r="E233" t="s">
        <v>60</v>
      </c>
      <c r="F233" s="2">
        <v>45758</v>
      </c>
      <c r="G233" s="2">
        <v>45758</v>
      </c>
      <c r="H233" t="s">
        <v>31</v>
      </c>
      <c r="I233" t="s">
        <v>25</v>
      </c>
      <c r="J233" s="2">
        <v>45760</v>
      </c>
      <c r="K233" s="2">
        <v>45760</v>
      </c>
      <c r="L233" t="s">
        <v>26</v>
      </c>
      <c r="M233" t="s">
        <v>27</v>
      </c>
      <c r="O233" t="s">
        <v>81</v>
      </c>
      <c r="P233" t="s">
        <v>76</v>
      </c>
      <c r="Q233">
        <f t="shared" si="12"/>
        <v>1</v>
      </c>
      <c r="R233" s="3">
        <f t="shared" si="13"/>
        <v>2</v>
      </c>
      <c r="S233">
        <f t="shared" si="14"/>
        <v>0</v>
      </c>
      <c r="T233">
        <f t="shared" si="15"/>
        <v>0</v>
      </c>
    </row>
    <row r="234" spans="1:20" x14ac:dyDescent="0.25">
      <c r="A234" t="s">
        <v>300</v>
      </c>
      <c r="B234">
        <v>233</v>
      </c>
      <c r="C234" t="s">
        <v>51</v>
      </c>
      <c r="D234" t="s">
        <v>39</v>
      </c>
      <c r="E234" t="s">
        <v>23</v>
      </c>
      <c r="F234" s="2">
        <v>45965</v>
      </c>
      <c r="G234" s="2">
        <v>45965</v>
      </c>
      <c r="H234" t="s">
        <v>61</v>
      </c>
      <c r="I234" t="s">
        <v>62</v>
      </c>
      <c r="J234" s="2">
        <v>45969</v>
      </c>
      <c r="K234" s="2">
        <v>45969</v>
      </c>
      <c r="L234" t="s">
        <v>46</v>
      </c>
      <c r="M234" t="s">
        <v>27</v>
      </c>
      <c r="O234" t="s">
        <v>37</v>
      </c>
      <c r="P234" t="s">
        <v>76</v>
      </c>
      <c r="Q234">
        <f t="shared" si="12"/>
        <v>1</v>
      </c>
      <c r="R234" s="3">
        <f t="shared" si="13"/>
        <v>4</v>
      </c>
      <c r="S234">
        <f t="shared" si="14"/>
        <v>0</v>
      </c>
      <c r="T234">
        <f t="shared" si="15"/>
        <v>1</v>
      </c>
    </row>
    <row r="235" spans="1:20" x14ac:dyDescent="0.25">
      <c r="A235" t="s">
        <v>301</v>
      </c>
      <c r="B235">
        <v>234</v>
      </c>
      <c r="C235" t="s">
        <v>59</v>
      </c>
      <c r="D235" t="s">
        <v>22</v>
      </c>
      <c r="E235" t="s">
        <v>60</v>
      </c>
      <c r="F235" s="2">
        <v>45728</v>
      </c>
      <c r="G235" s="2">
        <v>45728</v>
      </c>
      <c r="H235" t="s">
        <v>45</v>
      </c>
      <c r="I235" t="s">
        <v>42</v>
      </c>
      <c r="J235" s="2">
        <v>45731</v>
      </c>
      <c r="K235" s="2">
        <v>45732</v>
      </c>
      <c r="L235" t="s">
        <v>26</v>
      </c>
      <c r="M235" t="s">
        <v>32</v>
      </c>
      <c r="N235" t="s">
        <v>47</v>
      </c>
      <c r="O235" t="s">
        <v>43</v>
      </c>
      <c r="Q235">
        <f t="shared" si="12"/>
        <v>0</v>
      </c>
      <c r="R235" s="3">
        <f t="shared" si="13"/>
        <v>3</v>
      </c>
      <c r="S235">
        <f t="shared" si="14"/>
        <v>1</v>
      </c>
      <c r="T235">
        <f t="shared" si="15"/>
        <v>0</v>
      </c>
    </row>
    <row r="236" spans="1:20" x14ac:dyDescent="0.25">
      <c r="A236" t="s">
        <v>302</v>
      </c>
      <c r="B236">
        <v>235</v>
      </c>
      <c r="C236" t="s">
        <v>78</v>
      </c>
      <c r="D236" t="s">
        <v>22</v>
      </c>
      <c r="E236" t="s">
        <v>40</v>
      </c>
      <c r="F236" s="2">
        <v>45979</v>
      </c>
      <c r="G236" s="2">
        <v>45980</v>
      </c>
      <c r="H236" t="s">
        <v>24</v>
      </c>
      <c r="I236" t="s">
        <v>25</v>
      </c>
      <c r="J236" s="2">
        <v>45983</v>
      </c>
      <c r="K236" s="2">
        <v>45983</v>
      </c>
      <c r="L236" t="s">
        <v>26</v>
      </c>
      <c r="M236" t="s">
        <v>57</v>
      </c>
      <c r="O236" t="s">
        <v>43</v>
      </c>
      <c r="Q236">
        <f t="shared" si="12"/>
        <v>1</v>
      </c>
      <c r="R236" s="3">
        <f t="shared" si="13"/>
        <v>4</v>
      </c>
      <c r="S236">
        <f t="shared" si="14"/>
        <v>0</v>
      </c>
      <c r="T236">
        <f t="shared" si="15"/>
        <v>0</v>
      </c>
    </row>
    <row r="237" spans="1:20" x14ac:dyDescent="0.25">
      <c r="A237" t="s">
        <v>303</v>
      </c>
      <c r="B237">
        <v>236</v>
      </c>
      <c r="C237" t="s">
        <v>51</v>
      </c>
      <c r="D237" t="s">
        <v>22</v>
      </c>
      <c r="E237" t="s">
        <v>60</v>
      </c>
      <c r="F237" s="2">
        <v>45874</v>
      </c>
      <c r="G237" s="2">
        <v>45875</v>
      </c>
      <c r="H237" t="s">
        <v>31</v>
      </c>
      <c r="I237" t="s">
        <v>25</v>
      </c>
      <c r="J237" s="2">
        <v>45878</v>
      </c>
      <c r="K237" s="2">
        <v>45878</v>
      </c>
      <c r="L237" t="s">
        <v>46</v>
      </c>
      <c r="M237" t="s">
        <v>57</v>
      </c>
      <c r="O237" t="s">
        <v>43</v>
      </c>
      <c r="Q237">
        <f t="shared" si="12"/>
        <v>1</v>
      </c>
      <c r="R237" s="3">
        <f t="shared" si="13"/>
        <v>4</v>
      </c>
      <c r="S237">
        <f t="shared" si="14"/>
        <v>0</v>
      </c>
      <c r="T237">
        <f t="shared" si="15"/>
        <v>1</v>
      </c>
    </row>
    <row r="238" spans="1:20" x14ac:dyDescent="0.25">
      <c r="A238" t="s">
        <v>304</v>
      </c>
      <c r="B238">
        <v>237</v>
      </c>
      <c r="C238" t="s">
        <v>21</v>
      </c>
      <c r="D238" t="s">
        <v>52</v>
      </c>
      <c r="E238" t="s">
        <v>53</v>
      </c>
      <c r="F238" s="2">
        <v>45780</v>
      </c>
      <c r="G238" s="2">
        <v>45782</v>
      </c>
      <c r="H238" t="s">
        <v>41</v>
      </c>
      <c r="I238" t="s">
        <v>25</v>
      </c>
      <c r="J238" s="2">
        <v>45787</v>
      </c>
      <c r="K238" s="2">
        <v>45787</v>
      </c>
      <c r="L238" t="s">
        <v>26</v>
      </c>
      <c r="M238" t="s">
        <v>27</v>
      </c>
      <c r="O238" t="s">
        <v>37</v>
      </c>
      <c r="Q238">
        <f t="shared" si="12"/>
        <v>1</v>
      </c>
      <c r="R238" s="3">
        <f t="shared" si="13"/>
        <v>7</v>
      </c>
      <c r="S238">
        <f t="shared" si="14"/>
        <v>0</v>
      </c>
      <c r="T238">
        <f t="shared" si="15"/>
        <v>0</v>
      </c>
    </row>
    <row r="239" spans="1:20" x14ac:dyDescent="0.25">
      <c r="A239" t="s">
        <v>305</v>
      </c>
      <c r="B239">
        <v>238</v>
      </c>
      <c r="C239" t="s">
        <v>78</v>
      </c>
      <c r="D239" t="s">
        <v>52</v>
      </c>
      <c r="E239" t="s">
        <v>53</v>
      </c>
      <c r="F239" s="2">
        <v>45880</v>
      </c>
      <c r="G239" s="2">
        <v>45882</v>
      </c>
      <c r="H239" t="s">
        <v>45</v>
      </c>
      <c r="I239" t="s">
        <v>54</v>
      </c>
      <c r="J239" s="2">
        <v>45886</v>
      </c>
      <c r="K239" s="2">
        <v>45887</v>
      </c>
      <c r="L239" t="s">
        <v>26</v>
      </c>
      <c r="M239" t="s">
        <v>57</v>
      </c>
      <c r="O239" t="s">
        <v>69</v>
      </c>
      <c r="Q239">
        <f t="shared" si="12"/>
        <v>0</v>
      </c>
      <c r="R239" s="3">
        <f t="shared" si="13"/>
        <v>6</v>
      </c>
      <c r="S239">
        <f t="shared" si="14"/>
        <v>0</v>
      </c>
      <c r="T239">
        <f t="shared" si="15"/>
        <v>0</v>
      </c>
    </row>
    <row r="240" spans="1:20" x14ac:dyDescent="0.25">
      <c r="A240" t="s">
        <v>306</v>
      </c>
      <c r="B240">
        <v>239</v>
      </c>
      <c r="C240" t="s">
        <v>36</v>
      </c>
      <c r="D240" t="s">
        <v>30</v>
      </c>
      <c r="E240" t="s">
        <v>40</v>
      </c>
      <c r="F240" s="2">
        <v>45920</v>
      </c>
      <c r="G240" s="2">
        <v>45921</v>
      </c>
      <c r="H240" t="s">
        <v>41</v>
      </c>
      <c r="I240" t="s">
        <v>25</v>
      </c>
      <c r="J240" s="2">
        <v>45925</v>
      </c>
      <c r="K240" s="2">
        <v>45925</v>
      </c>
      <c r="L240" t="s">
        <v>26</v>
      </c>
      <c r="M240" t="s">
        <v>27</v>
      </c>
      <c r="O240" t="s">
        <v>81</v>
      </c>
      <c r="Q240">
        <f t="shared" si="12"/>
        <v>1</v>
      </c>
      <c r="R240" s="3">
        <f t="shared" si="13"/>
        <v>5</v>
      </c>
      <c r="S240">
        <f t="shared" si="14"/>
        <v>0</v>
      </c>
      <c r="T240">
        <f t="shared" si="15"/>
        <v>0</v>
      </c>
    </row>
    <row r="241" spans="1:20" x14ac:dyDescent="0.25">
      <c r="A241" t="s">
        <v>307</v>
      </c>
      <c r="B241">
        <v>240</v>
      </c>
      <c r="C241" t="s">
        <v>36</v>
      </c>
      <c r="D241" t="s">
        <v>39</v>
      </c>
      <c r="E241" t="s">
        <v>56</v>
      </c>
      <c r="F241" s="2">
        <v>45764</v>
      </c>
      <c r="G241" s="2">
        <v>45764</v>
      </c>
      <c r="H241" t="s">
        <v>61</v>
      </c>
      <c r="I241" t="s">
        <v>73</v>
      </c>
      <c r="J241" s="2">
        <v>45767</v>
      </c>
      <c r="K241" s="2">
        <v>45767</v>
      </c>
      <c r="L241" t="s">
        <v>26</v>
      </c>
      <c r="M241" t="s">
        <v>27</v>
      </c>
      <c r="O241" t="s">
        <v>37</v>
      </c>
      <c r="P241" t="s">
        <v>93</v>
      </c>
      <c r="Q241">
        <f t="shared" si="12"/>
        <v>1</v>
      </c>
      <c r="R241" s="3">
        <f t="shared" si="13"/>
        <v>3</v>
      </c>
      <c r="S241">
        <f t="shared" si="14"/>
        <v>0</v>
      </c>
      <c r="T241">
        <f t="shared" si="15"/>
        <v>0</v>
      </c>
    </row>
    <row r="242" spans="1:20" x14ac:dyDescent="0.25">
      <c r="A242" t="s">
        <v>308</v>
      </c>
      <c r="B242">
        <v>241</v>
      </c>
      <c r="C242" t="s">
        <v>78</v>
      </c>
      <c r="D242" t="s">
        <v>39</v>
      </c>
      <c r="E242" t="s">
        <v>53</v>
      </c>
      <c r="F242" s="2">
        <v>45965</v>
      </c>
      <c r="G242" s="2">
        <v>45966</v>
      </c>
      <c r="H242" t="s">
        <v>24</v>
      </c>
      <c r="I242" t="s">
        <v>73</v>
      </c>
      <c r="J242" s="2">
        <v>45969</v>
      </c>
      <c r="K242" s="2">
        <v>45969</v>
      </c>
      <c r="L242" t="s">
        <v>26</v>
      </c>
      <c r="M242" t="s">
        <v>57</v>
      </c>
      <c r="O242" t="s">
        <v>69</v>
      </c>
      <c r="Q242">
        <f t="shared" si="12"/>
        <v>1</v>
      </c>
      <c r="R242" s="3">
        <f t="shared" si="13"/>
        <v>4</v>
      </c>
      <c r="S242">
        <f t="shared" si="14"/>
        <v>0</v>
      </c>
      <c r="T242">
        <f t="shared" si="15"/>
        <v>0</v>
      </c>
    </row>
    <row r="243" spans="1:20" x14ac:dyDescent="0.25">
      <c r="A243" t="s">
        <v>309</v>
      </c>
      <c r="B243">
        <v>242</v>
      </c>
      <c r="C243" t="s">
        <v>78</v>
      </c>
      <c r="D243" t="s">
        <v>30</v>
      </c>
      <c r="E243" t="s">
        <v>60</v>
      </c>
      <c r="F243" s="2">
        <v>45823</v>
      </c>
      <c r="G243" s="2">
        <v>45825</v>
      </c>
      <c r="H243" t="s">
        <v>45</v>
      </c>
      <c r="I243" t="s">
        <v>73</v>
      </c>
      <c r="J243" s="2">
        <v>45829</v>
      </c>
      <c r="K243" s="2">
        <v>45829</v>
      </c>
      <c r="L243" t="s">
        <v>26</v>
      </c>
      <c r="M243" t="s">
        <v>27</v>
      </c>
      <c r="O243" t="s">
        <v>81</v>
      </c>
      <c r="P243" t="s">
        <v>88</v>
      </c>
      <c r="Q243">
        <f t="shared" si="12"/>
        <v>1</v>
      </c>
      <c r="R243" s="3">
        <f t="shared" si="13"/>
        <v>6</v>
      </c>
      <c r="S243">
        <f t="shared" si="14"/>
        <v>0</v>
      </c>
      <c r="T243">
        <f t="shared" si="15"/>
        <v>0</v>
      </c>
    </row>
    <row r="244" spans="1:20" x14ac:dyDescent="0.25">
      <c r="A244" t="s">
        <v>310</v>
      </c>
      <c r="B244">
        <v>243</v>
      </c>
      <c r="C244" t="s">
        <v>59</v>
      </c>
      <c r="D244" t="s">
        <v>64</v>
      </c>
      <c r="E244" t="s">
        <v>60</v>
      </c>
      <c r="F244" s="2">
        <v>45992</v>
      </c>
      <c r="G244" s="2">
        <v>45994</v>
      </c>
      <c r="H244" t="s">
        <v>24</v>
      </c>
      <c r="I244" t="s">
        <v>73</v>
      </c>
      <c r="J244" s="2">
        <v>45997</v>
      </c>
      <c r="K244" s="2">
        <v>45997</v>
      </c>
      <c r="L244" t="s">
        <v>26</v>
      </c>
      <c r="M244" t="s">
        <v>57</v>
      </c>
      <c r="O244" t="s">
        <v>69</v>
      </c>
      <c r="Q244">
        <f t="shared" si="12"/>
        <v>1</v>
      </c>
      <c r="R244" s="3">
        <f t="shared" si="13"/>
        <v>5</v>
      </c>
      <c r="S244">
        <f t="shared" si="14"/>
        <v>0</v>
      </c>
      <c r="T244">
        <f t="shared" si="15"/>
        <v>0</v>
      </c>
    </row>
    <row r="245" spans="1:20" x14ac:dyDescent="0.25">
      <c r="A245" t="s">
        <v>311</v>
      </c>
      <c r="B245">
        <v>244</v>
      </c>
      <c r="C245" t="s">
        <v>51</v>
      </c>
      <c r="D245" t="s">
        <v>22</v>
      </c>
      <c r="E245" t="s">
        <v>56</v>
      </c>
      <c r="F245" s="2">
        <v>45978</v>
      </c>
      <c r="G245" s="2">
        <v>45980</v>
      </c>
      <c r="H245" t="s">
        <v>24</v>
      </c>
      <c r="I245" t="s">
        <v>25</v>
      </c>
      <c r="J245" s="2">
        <v>45981</v>
      </c>
      <c r="K245" s="2">
        <v>45981</v>
      </c>
      <c r="L245" t="s">
        <v>26</v>
      </c>
      <c r="M245" t="s">
        <v>57</v>
      </c>
      <c r="O245" t="s">
        <v>43</v>
      </c>
      <c r="P245" t="s">
        <v>93</v>
      </c>
      <c r="Q245">
        <f t="shared" si="12"/>
        <v>1</v>
      </c>
      <c r="R245" s="3">
        <f t="shared" si="13"/>
        <v>3</v>
      </c>
      <c r="S245">
        <f t="shared" si="14"/>
        <v>0</v>
      </c>
      <c r="T245">
        <f t="shared" si="15"/>
        <v>0</v>
      </c>
    </row>
    <row r="246" spans="1:20" x14ac:dyDescent="0.25">
      <c r="A246" t="s">
        <v>312</v>
      </c>
      <c r="B246">
        <v>245</v>
      </c>
      <c r="C246" t="s">
        <v>36</v>
      </c>
      <c r="D246" t="s">
        <v>39</v>
      </c>
      <c r="E246" t="s">
        <v>56</v>
      </c>
      <c r="F246" s="2">
        <v>45702</v>
      </c>
      <c r="G246" s="2">
        <v>45704</v>
      </c>
      <c r="H246" t="s">
        <v>31</v>
      </c>
      <c r="I246" t="s">
        <v>62</v>
      </c>
      <c r="J246" s="2">
        <v>45708</v>
      </c>
      <c r="K246" s="2">
        <v>45711</v>
      </c>
      <c r="L246" t="s">
        <v>26</v>
      </c>
      <c r="M246" t="s">
        <v>32</v>
      </c>
      <c r="N246" t="s">
        <v>264</v>
      </c>
      <c r="O246" t="s">
        <v>69</v>
      </c>
      <c r="Q246">
        <f t="shared" si="12"/>
        <v>0</v>
      </c>
      <c r="R246" s="3">
        <f t="shared" si="13"/>
        <v>6</v>
      </c>
      <c r="S246">
        <f t="shared" si="14"/>
        <v>1</v>
      </c>
      <c r="T246">
        <f t="shared" si="15"/>
        <v>0</v>
      </c>
    </row>
    <row r="247" spans="1:20" x14ac:dyDescent="0.25">
      <c r="A247" t="s">
        <v>313</v>
      </c>
      <c r="B247">
        <v>246</v>
      </c>
      <c r="C247" t="s">
        <v>21</v>
      </c>
      <c r="D247" t="s">
        <v>30</v>
      </c>
      <c r="E247" t="s">
        <v>56</v>
      </c>
      <c r="F247" s="2">
        <v>45903</v>
      </c>
      <c r="G247" s="2">
        <v>45903</v>
      </c>
      <c r="H247" t="s">
        <v>41</v>
      </c>
      <c r="I247" t="s">
        <v>73</v>
      </c>
      <c r="J247" s="2">
        <v>45908</v>
      </c>
      <c r="K247" s="2">
        <v>45912</v>
      </c>
      <c r="L247" t="s">
        <v>26</v>
      </c>
      <c r="M247" t="s">
        <v>32</v>
      </c>
      <c r="N247" t="s">
        <v>67</v>
      </c>
      <c r="O247" t="s">
        <v>28</v>
      </c>
      <c r="Q247">
        <f t="shared" si="12"/>
        <v>0</v>
      </c>
      <c r="R247" s="3">
        <f t="shared" si="13"/>
        <v>5</v>
      </c>
      <c r="S247">
        <f t="shared" si="14"/>
        <v>1</v>
      </c>
      <c r="T247">
        <f t="shared" si="15"/>
        <v>0</v>
      </c>
    </row>
    <row r="248" spans="1:20" x14ac:dyDescent="0.25">
      <c r="A248" t="s">
        <v>314</v>
      </c>
      <c r="B248">
        <v>247</v>
      </c>
      <c r="C248" t="s">
        <v>51</v>
      </c>
      <c r="D248" t="s">
        <v>30</v>
      </c>
      <c r="E248" t="s">
        <v>60</v>
      </c>
      <c r="F248" s="2">
        <v>45793</v>
      </c>
      <c r="G248" s="2">
        <v>45793</v>
      </c>
      <c r="H248" t="s">
        <v>31</v>
      </c>
      <c r="I248" t="s">
        <v>85</v>
      </c>
      <c r="J248" s="2">
        <v>45797</v>
      </c>
      <c r="K248" s="2">
        <v>45797</v>
      </c>
      <c r="L248" t="s">
        <v>26</v>
      </c>
      <c r="M248" t="s">
        <v>27</v>
      </c>
      <c r="O248" t="s">
        <v>28</v>
      </c>
      <c r="Q248">
        <f t="shared" si="12"/>
        <v>1</v>
      </c>
      <c r="R248" s="3">
        <f t="shared" si="13"/>
        <v>4</v>
      </c>
      <c r="S248">
        <f t="shared" si="14"/>
        <v>0</v>
      </c>
      <c r="T248">
        <f t="shared" si="15"/>
        <v>0</v>
      </c>
    </row>
    <row r="249" spans="1:20" x14ac:dyDescent="0.25">
      <c r="A249" t="s">
        <v>315</v>
      </c>
      <c r="B249">
        <v>248</v>
      </c>
      <c r="C249" t="s">
        <v>51</v>
      </c>
      <c r="D249" t="s">
        <v>22</v>
      </c>
      <c r="E249" t="s">
        <v>60</v>
      </c>
      <c r="F249" s="2">
        <v>45948</v>
      </c>
      <c r="G249" s="2">
        <v>45949</v>
      </c>
      <c r="H249" t="s">
        <v>45</v>
      </c>
      <c r="I249" t="s">
        <v>25</v>
      </c>
      <c r="J249" s="2">
        <v>45951</v>
      </c>
      <c r="K249" s="2">
        <v>45952</v>
      </c>
      <c r="L249" t="s">
        <v>26</v>
      </c>
      <c r="M249" t="s">
        <v>32</v>
      </c>
      <c r="N249" t="s">
        <v>47</v>
      </c>
      <c r="O249" t="s">
        <v>28</v>
      </c>
      <c r="Q249">
        <f t="shared" si="12"/>
        <v>0</v>
      </c>
      <c r="R249" s="3">
        <f t="shared" si="13"/>
        <v>3</v>
      </c>
      <c r="S249">
        <f t="shared" si="14"/>
        <v>1</v>
      </c>
      <c r="T249">
        <f t="shared" si="15"/>
        <v>0</v>
      </c>
    </row>
    <row r="250" spans="1:20" x14ac:dyDescent="0.25">
      <c r="A250" t="s">
        <v>316</v>
      </c>
      <c r="B250">
        <v>249</v>
      </c>
      <c r="C250" t="s">
        <v>51</v>
      </c>
      <c r="D250" t="s">
        <v>22</v>
      </c>
      <c r="E250" t="s">
        <v>56</v>
      </c>
      <c r="F250" s="2">
        <v>45891</v>
      </c>
      <c r="G250" s="2">
        <v>45891</v>
      </c>
      <c r="H250" t="s">
        <v>31</v>
      </c>
      <c r="I250" t="s">
        <v>62</v>
      </c>
      <c r="J250" s="2">
        <v>45893</v>
      </c>
      <c r="K250" s="2">
        <v>45893</v>
      </c>
      <c r="L250" t="s">
        <v>26</v>
      </c>
      <c r="M250" t="s">
        <v>27</v>
      </c>
      <c r="O250" t="s">
        <v>34</v>
      </c>
      <c r="P250" t="s">
        <v>71</v>
      </c>
      <c r="Q250">
        <f t="shared" si="12"/>
        <v>1</v>
      </c>
      <c r="R250" s="3">
        <f t="shared" si="13"/>
        <v>2</v>
      </c>
      <c r="S250">
        <f t="shared" si="14"/>
        <v>0</v>
      </c>
      <c r="T250">
        <f t="shared" si="15"/>
        <v>0</v>
      </c>
    </row>
    <row r="251" spans="1:20" x14ac:dyDescent="0.25">
      <c r="A251" t="s">
        <v>317</v>
      </c>
      <c r="B251">
        <v>250</v>
      </c>
      <c r="C251" t="s">
        <v>36</v>
      </c>
      <c r="D251" t="s">
        <v>64</v>
      </c>
      <c r="E251" t="s">
        <v>53</v>
      </c>
      <c r="F251" s="2">
        <v>45856</v>
      </c>
      <c r="G251" s="2">
        <v>45857</v>
      </c>
      <c r="H251" t="s">
        <v>24</v>
      </c>
      <c r="I251" t="s">
        <v>25</v>
      </c>
      <c r="J251" s="2">
        <v>45858</v>
      </c>
      <c r="K251" s="2">
        <v>45858</v>
      </c>
      <c r="L251" t="s">
        <v>26</v>
      </c>
      <c r="M251" t="s">
        <v>57</v>
      </c>
      <c r="O251" t="s">
        <v>34</v>
      </c>
      <c r="Q251">
        <f t="shared" si="12"/>
        <v>1</v>
      </c>
      <c r="R251" s="3">
        <f t="shared" si="13"/>
        <v>2</v>
      </c>
      <c r="S251">
        <f t="shared" si="14"/>
        <v>0</v>
      </c>
      <c r="T251">
        <f t="shared" si="15"/>
        <v>0</v>
      </c>
    </row>
    <row r="252" spans="1:20" x14ac:dyDescent="0.25">
      <c r="A252" t="s">
        <v>318</v>
      </c>
      <c r="B252">
        <v>251</v>
      </c>
      <c r="C252" t="s">
        <v>78</v>
      </c>
      <c r="D252" t="s">
        <v>64</v>
      </c>
      <c r="E252" t="s">
        <v>60</v>
      </c>
      <c r="F252" s="2">
        <v>46004</v>
      </c>
      <c r="G252" s="2">
        <v>46005</v>
      </c>
      <c r="H252" t="s">
        <v>45</v>
      </c>
      <c r="I252" t="s">
        <v>62</v>
      </c>
      <c r="J252" s="2">
        <v>46007</v>
      </c>
      <c r="K252" s="2">
        <v>46007</v>
      </c>
      <c r="L252" t="s">
        <v>26</v>
      </c>
      <c r="M252" t="s">
        <v>57</v>
      </c>
      <c r="O252" t="s">
        <v>69</v>
      </c>
      <c r="Q252">
        <f t="shared" si="12"/>
        <v>1</v>
      </c>
      <c r="R252" s="3">
        <f t="shared" si="13"/>
        <v>3</v>
      </c>
      <c r="S252">
        <f t="shared" si="14"/>
        <v>0</v>
      </c>
      <c r="T252">
        <f t="shared" si="15"/>
        <v>0</v>
      </c>
    </row>
    <row r="253" spans="1:20" x14ac:dyDescent="0.25">
      <c r="A253" t="s">
        <v>319</v>
      </c>
      <c r="B253">
        <v>252</v>
      </c>
      <c r="C253" t="s">
        <v>51</v>
      </c>
      <c r="D253" t="s">
        <v>39</v>
      </c>
      <c r="E253" t="s">
        <v>40</v>
      </c>
      <c r="F253" s="2">
        <v>45683</v>
      </c>
      <c r="G253" s="2">
        <v>45684</v>
      </c>
      <c r="H253" t="s">
        <v>45</v>
      </c>
      <c r="I253" t="s">
        <v>54</v>
      </c>
      <c r="J253" s="2">
        <v>45685</v>
      </c>
      <c r="K253" s="2">
        <v>45685</v>
      </c>
      <c r="L253" t="s">
        <v>26</v>
      </c>
      <c r="M253" t="s">
        <v>27</v>
      </c>
      <c r="O253" t="s">
        <v>69</v>
      </c>
      <c r="Q253">
        <f t="shared" si="12"/>
        <v>1</v>
      </c>
      <c r="R253" s="3">
        <f t="shared" si="13"/>
        <v>2</v>
      </c>
      <c r="S253">
        <f t="shared" si="14"/>
        <v>0</v>
      </c>
      <c r="T253">
        <f t="shared" si="15"/>
        <v>0</v>
      </c>
    </row>
    <row r="254" spans="1:20" x14ac:dyDescent="0.25">
      <c r="A254" t="s">
        <v>320</v>
      </c>
      <c r="B254">
        <v>253</v>
      </c>
      <c r="C254" t="s">
        <v>78</v>
      </c>
      <c r="D254" t="s">
        <v>52</v>
      </c>
      <c r="E254" t="s">
        <v>60</v>
      </c>
      <c r="F254" s="2">
        <v>45892</v>
      </c>
      <c r="G254" s="2">
        <v>45892</v>
      </c>
      <c r="H254" t="s">
        <v>61</v>
      </c>
      <c r="I254" t="s">
        <v>83</v>
      </c>
      <c r="J254" s="2">
        <v>45897</v>
      </c>
      <c r="K254" s="2">
        <v>45898</v>
      </c>
      <c r="L254" t="s">
        <v>46</v>
      </c>
      <c r="M254" t="s">
        <v>27</v>
      </c>
      <c r="O254" t="s">
        <v>81</v>
      </c>
      <c r="Q254">
        <f t="shared" si="12"/>
        <v>0</v>
      </c>
      <c r="R254" s="3">
        <f t="shared" si="13"/>
        <v>5</v>
      </c>
      <c r="S254">
        <f t="shared" si="14"/>
        <v>0</v>
      </c>
      <c r="T254">
        <f t="shared" si="15"/>
        <v>1</v>
      </c>
    </row>
    <row r="255" spans="1:20" x14ac:dyDescent="0.25">
      <c r="A255" t="s">
        <v>321</v>
      </c>
      <c r="B255">
        <v>254</v>
      </c>
      <c r="C255" t="s">
        <v>78</v>
      </c>
      <c r="D255" t="s">
        <v>22</v>
      </c>
      <c r="E255" t="s">
        <v>53</v>
      </c>
      <c r="F255" s="2">
        <v>45797</v>
      </c>
      <c r="G255" s="2">
        <v>45798</v>
      </c>
      <c r="H255" t="s">
        <v>61</v>
      </c>
      <c r="I255" t="s">
        <v>25</v>
      </c>
      <c r="J255" s="2">
        <v>45800</v>
      </c>
      <c r="K255" s="2">
        <v>45800</v>
      </c>
      <c r="L255" t="s">
        <v>26</v>
      </c>
      <c r="M255" t="s">
        <v>27</v>
      </c>
      <c r="O255" t="s">
        <v>81</v>
      </c>
      <c r="Q255">
        <f t="shared" si="12"/>
        <v>1</v>
      </c>
      <c r="R255" s="3">
        <f t="shared" si="13"/>
        <v>3</v>
      </c>
      <c r="S255">
        <f t="shared" si="14"/>
        <v>0</v>
      </c>
      <c r="T255">
        <f t="shared" si="15"/>
        <v>0</v>
      </c>
    </row>
    <row r="256" spans="1:20" x14ac:dyDescent="0.25">
      <c r="A256" t="s">
        <v>322</v>
      </c>
      <c r="B256">
        <v>255</v>
      </c>
      <c r="C256" t="s">
        <v>36</v>
      </c>
      <c r="D256" t="s">
        <v>52</v>
      </c>
      <c r="E256" t="s">
        <v>60</v>
      </c>
      <c r="F256" s="2">
        <v>45660</v>
      </c>
      <c r="G256" s="2">
        <v>45660</v>
      </c>
      <c r="H256" t="s">
        <v>45</v>
      </c>
      <c r="I256" t="s">
        <v>73</v>
      </c>
      <c r="J256" s="2">
        <v>45663</v>
      </c>
      <c r="K256" s="2">
        <v>45667</v>
      </c>
      <c r="L256" t="s">
        <v>26</v>
      </c>
      <c r="M256" t="s">
        <v>32</v>
      </c>
      <c r="N256" t="s">
        <v>49</v>
      </c>
      <c r="O256" t="s">
        <v>81</v>
      </c>
      <c r="P256" t="s">
        <v>88</v>
      </c>
      <c r="Q256">
        <f t="shared" si="12"/>
        <v>0</v>
      </c>
      <c r="R256" s="3">
        <f t="shared" si="13"/>
        <v>3</v>
      </c>
      <c r="S256">
        <f t="shared" si="14"/>
        <v>1</v>
      </c>
      <c r="T256">
        <f t="shared" si="15"/>
        <v>0</v>
      </c>
    </row>
    <row r="257" spans="1:20" x14ac:dyDescent="0.25">
      <c r="A257" t="s">
        <v>323</v>
      </c>
      <c r="B257">
        <v>256</v>
      </c>
      <c r="C257" t="s">
        <v>59</v>
      </c>
      <c r="D257" t="s">
        <v>22</v>
      </c>
      <c r="E257" t="s">
        <v>40</v>
      </c>
      <c r="F257" s="2">
        <v>45953</v>
      </c>
      <c r="G257" s="2">
        <v>45955</v>
      </c>
      <c r="H257" t="s">
        <v>61</v>
      </c>
      <c r="I257" t="s">
        <v>62</v>
      </c>
      <c r="J257" s="2">
        <v>45959</v>
      </c>
      <c r="K257" s="2">
        <v>45959</v>
      </c>
      <c r="L257" t="s">
        <v>26</v>
      </c>
      <c r="M257" t="s">
        <v>57</v>
      </c>
      <c r="O257" t="s">
        <v>37</v>
      </c>
      <c r="Q257">
        <f t="shared" si="12"/>
        <v>1</v>
      </c>
      <c r="R257" s="3">
        <f t="shared" si="13"/>
        <v>6</v>
      </c>
      <c r="S257">
        <f t="shared" si="14"/>
        <v>0</v>
      </c>
      <c r="T257">
        <f t="shared" si="15"/>
        <v>0</v>
      </c>
    </row>
    <row r="258" spans="1:20" x14ac:dyDescent="0.25">
      <c r="A258" t="s">
        <v>324</v>
      </c>
      <c r="B258">
        <v>257</v>
      </c>
      <c r="C258" t="s">
        <v>21</v>
      </c>
      <c r="D258" t="s">
        <v>52</v>
      </c>
      <c r="E258" t="s">
        <v>60</v>
      </c>
      <c r="F258" s="2">
        <v>45879</v>
      </c>
      <c r="G258" s="2">
        <v>45879</v>
      </c>
      <c r="H258" t="s">
        <v>61</v>
      </c>
      <c r="I258" t="s">
        <v>54</v>
      </c>
      <c r="J258" s="2">
        <v>45882</v>
      </c>
      <c r="K258" s="2">
        <v>45883</v>
      </c>
      <c r="L258" t="s">
        <v>26</v>
      </c>
      <c r="M258" t="s">
        <v>27</v>
      </c>
      <c r="O258" t="s">
        <v>43</v>
      </c>
      <c r="Q258">
        <f t="shared" si="12"/>
        <v>0</v>
      </c>
      <c r="R258" s="3">
        <f t="shared" si="13"/>
        <v>3</v>
      </c>
      <c r="S258">
        <f t="shared" si="14"/>
        <v>0</v>
      </c>
      <c r="T258">
        <f t="shared" si="15"/>
        <v>0</v>
      </c>
    </row>
    <row r="259" spans="1:20" x14ac:dyDescent="0.25">
      <c r="A259" t="s">
        <v>325</v>
      </c>
      <c r="B259">
        <v>258</v>
      </c>
      <c r="C259" t="s">
        <v>78</v>
      </c>
      <c r="D259" t="s">
        <v>39</v>
      </c>
      <c r="E259" t="s">
        <v>53</v>
      </c>
      <c r="F259" s="2">
        <v>45998</v>
      </c>
      <c r="G259" s="2">
        <v>46000</v>
      </c>
      <c r="H259" t="s">
        <v>45</v>
      </c>
      <c r="I259" t="s">
        <v>85</v>
      </c>
      <c r="J259" s="2">
        <v>46004</v>
      </c>
      <c r="K259" s="2">
        <v>46004</v>
      </c>
      <c r="L259" t="s">
        <v>26</v>
      </c>
      <c r="M259" t="s">
        <v>27</v>
      </c>
      <c r="O259" t="s">
        <v>34</v>
      </c>
      <c r="Q259">
        <f t="shared" ref="Q259:Q322" si="16">IF(K259&lt;=J259,1,0)</f>
        <v>1</v>
      </c>
      <c r="R259" s="3">
        <f t="shared" ref="R259:R322" si="17">(J259-F259)</f>
        <v>6</v>
      </c>
      <c r="S259">
        <f t="shared" ref="S259:S322" si="18">IF(M259="Delayed",1,0)</f>
        <v>0</v>
      </c>
      <c r="T259">
        <f t="shared" ref="T259:T322" si="19">IF(L259="n",1,0)</f>
        <v>0</v>
      </c>
    </row>
    <row r="260" spans="1:20" x14ac:dyDescent="0.25">
      <c r="A260" t="s">
        <v>326</v>
      </c>
      <c r="B260">
        <v>259</v>
      </c>
      <c r="C260" t="s">
        <v>21</v>
      </c>
      <c r="D260" t="s">
        <v>64</v>
      </c>
      <c r="E260" t="s">
        <v>53</v>
      </c>
      <c r="F260" s="2">
        <v>45919</v>
      </c>
      <c r="G260" s="2">
        <v>45921</v>
      </c>
      <c r="H260" t="s">
        <v>61</v>
      </c>
      <c r="I260" t="s">
        <v>25</v>
      </c>
      <c r="J260" s="2">
        <v>45924</v>
      </c>
      <c r="K260" s="2">
        <v>45925</v>
      </c>
      <c r="L260" t="s">
        <v>26</v>
      </c>
      <c r="M260" t="s">
        <v>32</v>
      </c>
      <c r="N260" t="s">
        <v>33</v>
      </c>
      <c r="O260" t="s">
        <v>43</v>
      </c>
      <c r="P260" t="s">
        <v>88</v>
      </c>
      <c r="Q260">
        <f t="shared" si="16"/>
        <v>0</v>
      </c>
      <c r="R260" s="3">
        <f t="shared" si="17"/>
        <v>5</v>
      </c>
      <c r="S260">
        <f t="shared" si="18"/>
        <v>1</v>
      </c>
      <c r="T260">
        <f t="shared" si="19"/>
        <v>0</v>
      </c>
    </row>
    <row r="261" spans="1:20" x14ac:dyDescent="0.25">
      <c r="A261" t="s">
        <v>327</v>
      </c>
      <c r="B261">
        <v>260</v>
      </c>
      <c r="C261" t="s">
        <v>51</v>
      </c>
      <c r="D261" t="s">
        <v>22</v>
      </c>
      <c r="E261" t="s">
        <v>53</v>
      </c>
      <c r="F261" s="2">
        <v>45779</v>
      </c>
      <c r="G261" s="2">
        <v>45779</v>
      </c>
      <c r="H261" t="s">
        <v>24</v>
      </c>
      <c r="I261" t="s">
        <v>62</v>
      </c>
      <c r="J261" s="2">
        <v>45783</v>
      </c>
      <c r="K261" s="2">
        <v>45783</v>
      </c>
      <c r="L261" t="s">
        <v>26</v>
      </c>
      <c r="M261" t="s">
        <v>57</v>
      </c>
      <c r="O261" t="s">
        <v>28</v>
      </c>
      <c r="Q261">
        <f t="shared" si="16"/>
        <v>1</v>
      </c>
      <c r="R261" s="3">
        <f t="shared" si="17"/>
        <v>4</v>
      </c>
      <c r="S261">
        <f t="shared" si="18"/>
        <v>0</v>
      </c>
      <c r="T261">
        <f t="shared" si="19"/>
        <v>0</v>
      </c>
    </row>
    <row r="262" spans="1:20" x14ac:dyDescent="0.25">
      <c r="A262" t="s">
        <v>328</v>
      </c>
      <c r="B262">
        <v>261</v>
      </c>
      <c r="C262" t="s">
        <v>78</v>
      </c>
      <c r="D262" t="s">
        <v>52</v>
      </c>
      <c r="E262" t="s">
        <v>56</v>
      </c>
      <c r="F262" s="2">
        <v>46015</v>
      </c>
      <c r="G262" s="2">
        <v>46017</v>
      </c>
      <c r="H262" t="s">
        <v>45</v>
      </c>
      <c r="I262" t="s">
        <v>83</v>
      </c>
      <c r="J262" s="2">
        <v>46019</v>
      </c>
      <c r="K262" s="2">
        <v>46019</v>
      </c>
      <c r="L262" t="s">
        <v>26</v>
      </c>
      <c r="M262" t="s">
        <v>27</v>
      </c>
      <c r="O262" t="s">
        <v>28</v>
      </c>
      <c r="Q262">
        <f t="shared" si="16"/>
        <v>1</v>
      </c>
      <c r="R262" s="3">
        <f t="shared" si="17"/>
        <v>4</v>
      </c>
      <c r="S262">
        <f t="shared" si="18"/>
        <v>0</v>
      </c>
      <c r="T262">
        <f t="shared" si="19"/>
        <v>0</v>
      </c>
    </row>
    <row r="263" spans="1:20" x14ac:dyDescent="0.25">
      <c r="A263" t="s">
        <v>329</v>
      </c>
      <c r="B263">
        <v>262</v>
      </c>
      <c r="C263" t="s">
        <v>21</v>
      </c>
      <c r="D263" t="s">
        <v>64</v>
      </c>
      <c r="E263" t="s">
        <v>23</v>
      </c>
      <c r="F263" s="2">
        <v>45715</v>
      </c>
      <c r="G263" s="2">
        <v>45716</v>
      </c>
      <c r="H263" t="s">
        <v>24</v>
      </c>
      <c r="I263" t="s">
        <v>83</v>
      </c>
      <c r="J263" s="2">
        <v>45718</v>
      </c>
      <c r="K263" s="2">
        <v>45718</v>
      </c>
      <c r="L263" t="s">
        <v>26</v>
      </c>
      <c r="M263" t="s">
        <v>57</v>
      </c>
      <c r="O263" t="s">
        <v>37</v>
      </c>
      <c r="Q263">
        <f t="shared" si="16"/>
        <v>1</v>
      </c>
      <c r="R263" s="3">
        <f t="shared" si="17"/>
        <v>3</v>
      </c>
      <c r="S263">
        <f t="shared" si="18"/>
        <v>0</v>
      </c>
      <c r="T263">
        <f t="shared" si="19"/>
        <v>0</v>
      </c>
    </row>
    <row r="264" spans="1:20" x14ac:dyDescent="0.25">
      <c r="A264" t="s">
        <v>330</v>
      </c>
      <c r="B264">
        <v>263</v>
      </c>
      <c r="C264" t="s">
        <v>51</v>
      </c>
      <c r="D264" t="s">
        <v>30</v>
      </c>
      <c r="E264" t="s">
        <v>23</v>
      </c>
      <c r="F264" s="2">
        <v>45665</v>
      </c>
      <c r="G264" s="2">
        <v>45665</v>
      </c>
      <c r="H264" t="s">
        <v>24</v>
      </c>
      <c r="I264" t="s">
        <v>54</v>
      </c>
      <c r="J264" s="2">
        <v>45668</v>
      </c>
      <c r="K264" s="2">
        <v>45669</v>
      </c>
      <c r="L264" t="s">
        <v>26</v>
      </c>
      <c r="M264" t="s">
        <v>32</v>
      </c>
      <c r="N264" t="s">
        <v>49</v>
      </c>
      <c r="O264" t="s">
        <v>81</v>
      </c>
      <c r="Q264">
        <f t="shared" si="16"/>
        <v>0</v>
      </c>
      <c r="R264" s="3">
        <f t="shared" si="17"/>
        <v>3</v>
      </c>
      <c r="S264">
        <f t="shared" si="18"/>
        <v>1</v>
      </c>
      <c r="T264">
        <f t="shared" si="19"/>
        <v>0</v>
      </c>
    </row>
    <row r="265" spans="1:20" x14ac:dyDescent="0.25">
      <c r="A265" t="s">
        <v>331</v>
      </c>
      <c r="B265">
        <v>264</v>
      </c>
      <c r="C265" t="s">
        <v>59</v>
      </c>
      <c r="D265" t="s">
        <v>39</v>
      </c>
      <c r="E265" t="s">
        <v>40</v>
      </c>
      <c r="F265" s="2">
        <v>45943</v>
      </c>
      <c r="G265" s="2">
        <v>45945</v>
      </c>
      <c r="H265" t="s">
        <v>61</v>
      </c>
      <c r="I265" t="s">
        <v>83</v>
      </c>
      <c r="J265" s="2">
        <v>45947</v>
      </c>
      <c r="K265" s="2">
        <v>45948</v>
      </c>
      <c r="L265" t="s">
        <v>26</v>
      </c>
      <c r="M265" t="s">
        <v>32</v>
      </c>
      <c r="N265" t="s">
        <v>67</v>
      </c>
      <c r="O265" t="s">
        <v>28</v>
      </c>
      <c r="Q265">
        <f t="shared" si="16"/>
        <v>0</v>
      </c>
      <c r="R265" s="3">
        <f t="shared" si="17"/>
        <v>4</v>
      </c>
      <c r="S265">
        <f t="shared" si="18"/>
        <v>1</v>
      </c>
      <c r="T265">
        <f t="shared" si="19"/>
        <v>0</v>
      </c>
    </row>
    <row r="266" spans="1:20" x14ac:dyDescent="0.25">
      <c r="A266" t="s">
        <v>332</v>
      </c>
      <c r="B266">
        <v>265</v>
      </c>
      <c r="C266" t="s">
        <v>78</v>
      </c>
      <c r="D266" t="s">
        <v>30</v>
      </c>
      <c r="E266" t="s">
        <v>53</v>
      </c>
      <c r="F266" s="2">
        <v>45815</v>
      </c>
      <c r="G266" s="2">
        <v>45817</v>
      </c>
      <c r="H266" t="s">
        <v>45</v>
      </c>
      <c r="I266" t="s">
        <v>54</v>
      </c>
      <c r="J266" s="2">
        <v>45820</v>
      </c>
      <c r="K266" s="2">
        <v>45820</v>
      </c>
      <c r="L266" t="s">
        <v>46</v>
      </c>
      <c r="M266" t="s">
        <v>27</v>
      </c>
      <c r="O266" t="s">
        <v>34</v>
      </c>
      <c r="Q266">
        <f t="shared" si="16"/>
        <v>1</v>
      </c>
      <c r="R266" s="3">
        <f t="shared" si="17"/>
        <v>5</v>
      </c>
      <c r="S266">
        <f t="shared" si="18"/>
        <v>0</v>
      </c>
      <c r="T266">
        <f t="shared" si="19"/>
        <v>1</v>
      </c>
    </row>
    <row r="267" spans="1:20" x14ac:dyDescent="0.25">
      <c r="A267" t="s">
        <v>333</v>
      </c>
      <c r="B267">
        <v>266</v>
      </c>
      <c r="C267" t="s">
        <v>78</v>
      </c>
      <c r="D267" t="s">
        <v>52</v>
      </c>
      <c r="E267" t="s">
        <v>40</v>
      </c>
      <c r="F267" s="2">
        <v>45827</v>
      </c>
      <c r="G267" s="2">
        <v>45827</v>
      </c>
      <c r="H267" t="s">
        <v>24</v>
      </c>
      <c r="I267" t="s">
        <v>83</v>
      </c>
      <c r="J267" s="2">
        <v>45828</v>
      </c>
      <c r="K267" s="2">
        <v>45828</v>
      </c>
      <c r="L267" t="s">
        <v>26</v>
      </c>
      <c r="M267" t="s">
        <v>27</v>
      </c>
      <c r="O267" t="s">
        <v>28</v>
      </c>
      <c r="P267" t="s">
        <v>93</v>
      </c>
      <c r="Q267">
        <f t="shared" si="16"/>
        <v>1</v>
      </c>
      <c r="R267" s="3">
        <f t="shared" si="17"/>
        <v>1</v>
      </c>
      <c r="S267">
        <f t="shared" si="18"/>
        <v>0</v>
      </c>
      <c r="T267">
        <f t="shared" si="19"/>
        <v>0</v>
      </c>
    </row>
    <row r="268" spans="1:20" x14ac:dyDescent="0.25">
      <c r="A268" t="s">
        <v>334</v>
      </c>
      <c r="B268">
        <v>267</v>
      </c>
      <c r="C268" t="s">
        <v>21</v>
      </c>
      <c r="D268" t="s">
        <v>30</v>
      </c>
      <c r="E268" t="s">
        <v>23</v>
      </c>
      <c r="F268" s="2">
        <v>45980</v>
      </c>
      <c r="G268" s="2">
        <v>45980</v>
      </c>
      <c r="H268" t="s">
        <v>61</v>
      </c>
      <c r="I268" t="s">
        <v>62</v>
      </c>
      <c r="J268" s="2">
        <v>45984</v>
      </c>
      <c r="K268" s="2">
        <v>45984</v>
      </c>
      <c r="L268" t="s">
        <v>26</v>
      </c>
      <c r="M268" t="s">
        <v>27</v>
      </c>
      <c r="O268" t="s">
        <v>37</v>
      </c>
      <c r="Q268">
        <f t="shared" si="16"/>
        <v>1</v>
      </c>
      <c r="R268" s="3">
        <f t="shared" si="17"/>
        <v>4</v>
      </c>
      <c r="S268">
        <f t="shared" si="18"/>
        <v>0</v>
      </c>
      <c r="T268">
        <f t="shared" si="19"/>
        <v>0</v>
      </c>
    </row>
    <row r="269" spans="1:20" x14ac:dyDescent="0.25">
      <c r="A269" t="s">
        <v>335</v>
      </c>
      <c r="B269">
        <v>268</v>
      </c>
      <c r="C269" t="s">
        <v>36</v>
      </c>
      <c r="D269" t="s">
        <v>22</v>
      </c>
      <c r="E269" t="s">
        <v>23</v>
      </c>
      <c r="F269" s="2">
        <v>45784</v>
      </c>
      <c r="G269" s="2">
        <v>45784</v>
      </c>
      <c r="H269" t="s">
        <v>41</v>
      </c>
      <c r="I269" t="s">
        <v>25</v>
      </c>
      <c r="J269" s="2">
        <v>45786</v>
      </c>
      <c r="K269" s="2">
        <v>45786</v>
      </c>
      <c r="L269" t="s">
        <v>26</v>
      </c>
      <c r="M269" t="s">
        <v>27</v>
      </c>
      <c r="O269" t="s">
        <v>43</v>
      </c>
      <c r="P269" t="s">
        <v>93</v>
      </c>
      <c r="Q269">
        <f t="shared" si="16"/>
        <v>1</v>
      </c>
      <c r="R269" s="3">
        <f t="shared" si="17"/>
        <v>2</v>
      </c>
      <c r="S269">
        <f t="shared" si="18"/>
        <v>0</v>
      </c>
      <c r="T269">
        <f t="shared" si="19"/>
        <v>0</v>
      </c>
    </row>
    <row r="270" spans="1:20" x14ac:dyDescent="0.25">
      <c r="A270" t="s">
        <v>336</v>
      </c>
      <c r="B270">
        <v>269</v>
      </c>
      <c r="C270" t="s">
        <v>51</v>
      </c>
      <c r="D270" t="s">
        <v>22</v>
      </c>
      <c r="E270" t="s">
        <v>56</v>
      </c>
      <c r="F270" s="2">
        <v>45994</v>
      </c>
      <c r="G270" s="2">
        <v>45996</v>
      </c>
      <c r="H270" t="s">
        <v>41</v>
      </c>
      <c r="I270" t="s">
        <v>62</v>
      </c>
      <c r="J270" s="2">
        <v>46002</v>
      </c>
      <c r="K270" s="2">
        <v>46002</v>
      </c>
      <c r="L270" t="s">
        <v>26</v>
      </c>
      <c r="M270" t="s">
        <v>57</v>
      </c>
      <c r="O270" t="s">
        <v>43</v>
      </c>
      <c r="P270" t="s">
        <v>71</v>
      </c>
      <c r="Q270">
        <f t="shared" si="16"/>
        <v>1</v>
      </c>
      <c r="R270" s="3">
        <f t="shared" si="17"/>
        <v>8</v>
      </c>
      <c r="S270">
        <f t="shared" si="18"/>
        <v>0</v>
      </c>
      <c r="T270">
        <f t="shared" si="19"/>
        <v>0</v>
      </c>
    </row>
    <row r="271" spans="1:20" x14ac:dyDescent="0.25">
      <c r="A271" t="s">
        <v>337</v>
      </c>
      <c r="B271">
        <v>270</v>
      </c>
      <c r="C271" t="s">
        <v>59</v>
      </c>
      <c r="D271" t="s">
        <v>64</v>
      </c>
      <c r="E271" t="s">
        <v>23</v>
      </c>
      <c r="F271" s="2">
        <v>45914</v>
      </c>
      <c r="G271" s="2">
        <v>45915</v>
      </c>
      <c r="H271" t="s">
        <v>45</v>
      </c>
      <c r="I271" t="s">
        <v>85</v>
      </c>
      <c r="J271" s="2">
        <v>45921</v>
      </c>
      <c r="K271" s="2">
        <v>45921</v>
      </c>
      <c r="L271" t="s">
        <v>26</v>
      </c>
      <c r="M271" t="s">
        <v>27</v>
      </c>
      <c r="O271" t="s">
        <v>43</v>
      </c>
      <c r="Q271">
        <f t="shared" si="16"/>
        <v>1</v>
      </c>
      <c r="R271" s="3">
        <f t="shared" si="17"/>
        <v>7</v>
      </c>
      <c r="S271">
        <f t="shared" si="18"/>
        <v>0</v>
      </c>
      <c r="T271">
        <f t="shared" si="19"/>
        <v>0</v>
      </c>
    </row>
    <row r="272" spans="1:20" x14ac:dyDescent="0.25">
      <c r="A272" t="s">
        <v>338</v>
      </c>
      <c r="B272">
        <v>271</v>
      </c>
      <c r="C272" t="s">
        <v>59</v>
      </c>
      <c r="D272" t="s">
        <v>39</v>
      </c>
      <c r="E272" t="s">
        <v>53</v>
      </c>
      <c r="F272" s="2">
        <v>45793</v>
      </c>
      <c r="G272" s="2">
        <v>45795</v>
      </c>
      <c r="H272" t="s">
        <v>41</v>
      </c>
      <c r="I272" t="s">
        <v>54</v>
      </c>
      <c r="J272" s="2">
        <v>45799</v>
      </c>
      <c r="K272" s="2">
        <v>45799</v>
      </c>
      <c r="L272" t="s">
        <v>46</v>
      </c>
      <c r="M272" t="s">
        <v>57</v>
      </c>
      <c r="O272" t="s">
        <v>28</v>
      </c>
      <c r="Q272">
        <f t="shared" si="16"/>
        <v>1</v>
      </c>
      <c r="R272" s="3">
        <f t="shared" si="17"/>
        <v>6</v>
      </c>
      <c r="S272">
        <f t="shared" si="18"/>
        <v>0</v>
      </c>
      <c r="T272">
        <f t="shared" si="19"/>
        <v>1</v>
      </c>
    </row>
    <row r="273" spans="1:20" x14ac:dyDescent="0.25">
      <c r="A273" t="s">
        <v>339</v>
      </c>
      <c r="B273">
        <v>272</v>
      </c>
      <c r="C273" t="s">
        <v>51</v>
      </c>
      <c r="D273" t="s">
        <v>30</v>
      </c>
      <c r="E273" t="s">
        <v>56</v>
      </c>
      <c r="F273" s="2">
        <v>45667</v>
      </c>
      <c r="G273" s="2">
        <v>45667</v>
      </c>
      <c r="H273" t="s">
        <v>41</v>
      </c>
      <c r="I273" t="s">
        <v>25</v>
      </c>
      <c r="J273" s="2">
        <v>45668</v>
      </c>
      <c r="K273" s="2">
        <v>45668</v>
      </c>
      <c r="L273" t="s">
        <v>26</v>
      </c>
      <c r="M273" t="s">
        <v>57</v>
      </c>
      <c r="O273" t="s">
        <v>43</v>
      </c>
      <c r="Q273">
        <f t="shared" si="16"/>
        <v>1</v>
      </c>
      <c r="R273" s="3">
        <f t="shared" si="17"/>
        <v>1</v>
      </c>
      <c r="S273">
        <f t="shared" si="18"/>
        <v>0</v>
      </c>
      <c r="T273">
        <f t="shared" si="19"/>
        <v>0</v>
      </c>
    </row>
    <row r="274" spans="1:20" x14ac:dyDescent="0.25">
      <c r="A274" t="s">
        <v>340</v>
      </c>
      <c r="B274">
        <v>273</v>
      </c>
      <c r="C274" t="s">
        <v>59</v>
      </c>
      <c r="D274" t="s">
        <v>64</v>
      </c>
      <c r="E274" t="s">
        <v>60</v>
      </c>
      <c r="F274" s="2">
        <v>45762</v>
      </c>
      <c r="G274" s="2">
        <v>45764</v>
      </c>
      <c r="H274" t="s">
        <v>41</v>
      </c>
      <c r="I274" t="s">
        <v>54</v>
      </c>
      <c r="J274" s="2">
        <v>45767</v>
      </c>
      <c r="K274" s="2">
        <v>45767</v>
      </c>
      <c r="L274" t="s">
        <v>26</v>
      </c>
      <c r="M274" t="s">
        <v>27</v>
      </c>
      <c r="O274" t="s">
        <v>37</v>
      </c>
      <c r="Q274">
        <f t="shared" si="16"/>
        <v>1</v>
      </c>
      <c r="R274" s="3">
        <f t="shared" si="17"/>
        <v>5</v>
      </c>
      <c r="S274">
        <f t="shared" si="18"/>
        <v>0</v>
      </c>
      <c r="T274">
        <f t="shared" si="19"/>
        <v>0</v>
      </c>
    </row>
    <row r="275" spans="1:20" x14ac:dyDescent="0.25">
      <c r="A275" t="s">
        <v>341</v>
      </c>
      <c r="B275">
        <v>274</v>
      </c>
      <c r="C275" t="s">
        <v>21</v>
      </c>
      <c r="D275" t="s">
        <v>39</v>
      </c>
      <c r="E275" t="s">
        <v>60</v>
      </c>
      <c r="F275" s="2">
        <v>46018</v>
      </c>
      <c r="G275" s="2">
        <v>46018</v>
      </c>
      <c r="H275" t="s">
        <v>61</v>
      </c>
      <c r="I275" t="s">
        <v>42</v>
      </c>
      <c r="J275" s="2">
        <v>46021</v>
      </c>
      <c r="K275" s="2">
        <v>46021</v>
      </c>
      <c r="L275" t="s">
        <v>26</v>
      </c>
      <c r="M275" t="s">
        <v>57</v>
      </c>
      <c r="O275" t="s">
        <v>69</v>
      </c>
      <c r="P275" t="s">
        <v>71</v>
      </c>
      <c r="Q275">
        <f t="shared" si="16"/>
        <v>1</v>
      </c>
      <c r="R275" s="3">
        <f t="shared" si="17"/>
        <v>3</v>
      </c>
      <c r="S275">
        <f t="shared" si="18"/>
        <v>0</v>
      </c>
      <c r="T275">
        <f t="shared" si="19"/>
        <v>0</v>
      </c>
    </row>
    <row r="276" spans="1:20" x14ac:dyDescent="0.25">
      <c r="A276" t="s">
        <v>342</v>
      </c>
      <c r="B276">
        <v>275</v>
      </c>
      <c r="C276" t="s">
        <v>36</v>
      </c>
      <c r="D276" t="s">
        <v>22</v>
      </c>
      <c r="E276" t="s">
        <v>23</v>
      </c>
      <c r="F276" s="2">
        <v>45836</v>
      </c>
      <c r="G276" s="2">
        <v>45836</v>
      </c>
      <c r="H276" t="s">
        <v>61</v>
      </c>
      <c r="I276" t="s">
        <v>54</v>
      </c>
      <c r="J276" s="2">
        <v>45837</v>
      </c>
      <c r="K276" s="2">
        <v>45837</v>
      </c>
      <c r="L276" t="s">
        <v>26</v>
      </c>
      <c r="M276" t="s">
        <v>57</v>
      </c>
      <c r="O276" t="s">
        <v>69</v>
      </c>
      <c r="P276" t="s">
        <v>93</v>
      </c>
      <c r="Q276">
        <f t="shared" si="16"/>
        <v>1</v>
      </c>
      <c r="R276" s="3">
        <f t="shared" si="17"/>
        <v>1</v>
      </c>
      <c r="S276">
        <f t="shared" si="18"/>
        <v>0</v>
      </c>
      <c r="T276">
        <f t="shared" si="19"/>
        <v>0</v>
      </c>
    </row>
    <row r="277" spans="1:20" x14ac:dyDescent="0.25">
      <c r="A277" t="s">
        <v>343</v>
      </c>
      <c r="B277">
        <v>276</v>
      </c>
      <c r="C277" t="s">
        <v>51</v>
      </c>
      <c r="D277" t="s">
        <v>22</v>
      </c>
      <c r="E277" t="s">
        <v>53</v>
      </c>
      <c r="F277" s="2">
        <v>45721</v>
      </c>
      <c r="G277" s="2">
        <v>45722</v>
      </c>
      <c r="H277" t="s">
        <v>41</v>
      </c>
      <c r="I277" t="s">
        <v>42</v>
      </c>
      <c r="J277" s="2">
        <v>45728</v>
      </c>
      <c r="K277" s="2">
        <v>45728</v>
      </c>
      <c r="L277" t="s">
        <v>26</v>
      </c>
      <c r="M277" t="s">
        <v>57</v>
      </c>
      <c r="O277" t="s">
        <v>43</v>
      </c>
      <c r="Q277">
        <f t="shared" si="16"/>
        <v>1</v>
      </c>
      <c r="R277" s="3">
        <f t="shared" si="17"/>
        <v>7</v>
      </c>
      <c r="S277">
        <f t="shared" si="18"/>
        <v>0</v>
      </c>
      <c r="T277">
        <f t="shared" si="19"/>
        <v>0</v>
      </c>
    </row>
    <row r="278" spans="1:20" x14ac:dyDescent="0.25">
      <c r="A278" t="s">
        <v>344</v>
      </c>
      <c r="B278">
        <v>277</v>
      </c>
      <c r="C278" t="s">
        <v>21</v>
      </c>
      <c r="D278" t="s">
        <v>39</v>
      </c>
      <c r="E278" t="s">
        <v>40</v>
      </c>
      <c r="F278" s="2">
        <v>45798</v>
      </c>
      <c r="G278" s="2">
        <v>45799</v>
      </c>
      <c r="H278" t="s">
        <v>41</v>
      </c>
      <c r="I278" t="s">
        <v>54</v>
      </c>
      <c r="J278" s="2">
        <v>45800</v>
      </c>
      <c r="K278" s="2">
        <v>45800</v>
      </c>
      <c r="L278" t="s">
        <v>26</v>
      </c>
      <c r="M278" t="s">
        <v>27</v>
      </c>
      <c r="O278" t="s">
        <v>43</v>
      </c>
      <c r="Q278">
        <f t="shared" si="16"/>
        <v>1</v>
      </c>
      <c r="R278" s="3">
        <f t="shared" si="17"/>
        <v>2</v>
      </c>
      <c r="S278">
        <f t="shared" si="18"/>
        <v>0</v>
      </c>
      <c r="T278">
        <f t="shared" si="19"/>
        <v>0</v>
      </c>
    </row>
    <row r="279" spans="1:20" x14ac:dyDescent="0.25">
      <c r="A279" t="s">
        <v>345</v>
      </c>
      <c r="B279">
        <v>278</v>
      </c>
      <c r="C279" t="s">
        <v>36</v>
      </c>
      <c r="D279" t="s">
        <v>30</v>
      </c>
      <c r="E279" t="s">
        <v>40</v>
      </c>
      <c r="F279" s="2">
        <v>46002</v>
      </c>
      <c r="G279" s="2">
        <v>46003</v>
      </c>
      <c r="H279" t="s">
        <v>31</v>
      </c>
      <c r="I279" t="s">
        <v>25</v>
      </c>
      <c r="J279" s="2">
        <v>46006</v>
      </c>
      <c r="K279" s="2">
        <v>46006</v>
      </c>
      <c r="L279" t="s">
        <v>26</v>
      </c>
      <c r="M279" t="s">
        <v>27</v>
      </c>
      <c r="O279" t="s">
        <v>28</v>
      </c>
      <c r="Q279">
        <f t="shared" si="16"/>
        <v>1</v>
      </c>
      <c r="R279" s="3">
        <f t="shared" si="17"/>
        <v>4</v>
      </c>
      <c r="S279">
        <f t="shared" si="18"/>
        <v>0</v>
      </c>
      <c r="T279">
        <f t="shared" si="19"/>
        <v>0</v>
      </c>
    </row>
    <row r="280" spans="1:20" x14ac:dyDescent="0.25">
      <c r="A280" t="s">
        <v>346</v>
      </c>
      <c r="B280">
        <v>279</v>
      </c>
      <c r="C280" t="s">
        <v>21</v>
      </c>
      <c r="D280" t="s">
        <v>22</v>
      </c>
      <c r="E280" t="s">
        <v>56</v>
      </c>
      <c r="F280" s="2">
        <v>45741</v>
      </c>
      <c r="G280" s="2">
        <v>45741</v>
      </c>
      <c r="H280" t="s">
        <v>45</v>
      </c>
      <c r="I280" t="s">
        <v>85</v>
      </c>
      <c r="J280" s="2">
        <v>45742</v>
      </c>
      <c r="K280" s="2">
        <v>45742</v>
      </c>
      <c r="L280" t="s">
        <v>26</v>
      </c>
      <c r="M280" t="s">
        <v>57</v>
      </c>
      <c r="O280" t="s">
        <v>37</v>
      </c>
      <c r="Q280">
        <f t="shared" si="16"/>
        <v>1</v>
      </c>
      <c r="R280" s="3">
        <f t="shared" si="17"/>
        <v>1</v>
      </c>
      <c r="S280">
        <f t="shared" si="18"/>
        <v>0</v>
      </c>
      <c r="T280">
        <f t="shared" si="19"/>
        <v>0</v>
      </c>
    </row>
    <row r="281" spans="1:20" x14ac:dyDescent="0.25">
      <c r="A281" t="s">
        <v>347</v>
      </c>
      <c r="B281">
        <v>280</v>
      </c>
      <c r="C281" t="s">
        <v>36</v>
      </c>
      <c r="D281" t="s">
        <v>64</v>
      </c>
      <c r="E281" t="s">
        <v>53</v>
      </c>
      <c r="F281" s="2">
        <v>45970</v>
      </c>
      <c r="G281" s="2">
        <v>45971</v>
      </c>
      <c r="H281" t="s">
        <v>61</v>
      </c>
      <c r="I281" t="s">
        <v>62</v>
      </c>
      <c r="J281" s="2">
        <v>45975</v>
      </c>
      <c r="K281" s="2">
        <v>45975</v>
      </c>
      <c r="L281" t="s">
        <v>26</v>
      </c>
      <c r="M281" t="s">
        <v>27</v>
      </c>
      <c r="O281" t="s">
        <v>69</v>
      </c>
      <c r="Q281">
        <f t="shared" si="16"/>
        <v>1</v>
      </c>
      <c r="R281" s="3">
        <f t="shared" si="17"/>
        <v>5</v>
      </c>
      <c r="S281">
        <f t="shared" si="18"/>
        <v>0</v>
      </c>
      <c r="T281">
        <f t="shared" si="19"/>
        <v>0</v>
      </c>
    </row>
    <row r="282" spans="1:20" x14ac:dyDescent="0.25">
      <c r="A282" t="s">
        <v>348</v>
      </c>
      <c r="B282">
        <v>281</v>
      </c>
      <c r="C282" t="s">
        <v>51</v>
      </c>
      <c r="D282" t="s">
        <v>39</v>
      </c>
      <c r="E282" t="s">
        <v>53</v>
      </c>
      <c r="F282" s="2">
        <v>45726</v>
      </c>
      <c r="G282" s="2">
        <v>45726</v>
      </c>
      <c r="H282" t="s">
        <v>24</v>
      </c>
      <c r="I282" t="s">
        <v>54</v>
      </c>
      <c r="J282" s="2">
        <v>45730</v>
      </c>
      <c r="K282" s="2">
        <v>45730</v>
      </c>
      <c r="L282" t="s">
        <v>26</v>
      </c>
      <c r="M282" t="s">
        <v>57</v>
      </c>
      <c r="O282" t="s">
        <v>81</v>
      </c>
      <c r="Q282">
        <f t="shared" si="16"/>
        <v>1</v>
      </c>
      <c r="R282" s="3">
        <f t="shared" si="17"/>
        <v>4</v>
      </c>
      <c r="S282">
        <f t="shared" si="18"/>
        <v>0</v>
      </c>
      <c r="T282">
        <f t="shared" si="19"/>
        <v>0</v>
      </c>
    </row>
    <row r="283" spans="1:20" x14ac:dyDescent="0.25">
      <c r="A283" t="s">
        <v>349</v>
      </c>
      <c r="B283">
        <v>282</v>
      </c>
      <c r="C283" t="s">
        <v>78</v>
      </c>
      <c r="D283" t="s">
        <v>22</v>
      </c>
      <c r="E283" t="s">
        <v>60</v>
      </c>
      <c r="F283" s="2">
        <v>46002</v>
      </c>
      <c r="G283" s="2">
        <v>46003</v>
      </c>
      <c r="H283" t="s">
        <v>31</v>
      </c>
      <c r="I283" t="s">
        <v>54</v>
      </c>
      <c r="J283" s="2">
        <v>46007</v>
      </c>
      <c r="K283" s="2">
        <v>46007</v>
      </c>
      <c r="L283" t="s">
        <v>26</v>
      </c>
      <c r="M283" t="s">
        <v>27</v>
      </c>
      <c r="O283" t="s">
        <v>69</v>
      </c>
      <c r="Q283">
        <f t="shared" si="16"/>
        <v>1</v>
      </c>
      <c r="R283" s="3">
        <f t="shared" si="17"/>
        <v>5</v>
      </c>
      <c r="S283">
        <f t="shared" si="18"/>
        <v>0</v>
      </c>
      <c r="T283">
        <f t="shared" si="19"/>
        <v>0</v>
      </c>
    </row>
    <row r="284" spans="1:20" x14ac:dyDescent="0.25">
      <c r="A284" t="s">
        <v>350</v>
      </c>
      <c r="B284">
        <v>283</v>
      </c>
      <c r="C284" t="s">
        <v>36</v>
      </c>
      <c r="D284" t="s">
        <v>30</v>
      </c>
      <c r="E284" t="s">
        <v>56</v>
      </c>
      <c r="F284" s="2">
        <v>45894</v>
      </c>
      <c r="G284" s="2">
        <v>45896</v>
      </c>
      <c r="H284" t="s">
        <v>24</v>
      </c>
      <c r="I284" t="s">
        <v>73</v>
      </c>
      <c r="J284" s="2">
        <v>45900</v>
      </c>
      <c r="K284" s="2">
        <v>45900</v>
      </c>
      <c r="L284" t="s">
        <v>26</v>
      </c>
      <c r="M284" t="s">
        <v>57</v>
      </c>
      <c r="O284" t="s">
        <v>34</v>
      </c>
      <c r="Q284">
        <f t="shared" si="16"/>
        <v>1</v>
      </c>
      <c r="R284" s="3">
        <f t="shared" si="17"/>
        <v>6</v>
      </c>
      <c r="S284">
        <f t="shared" si="18"/>
        <v>0</v>
      </c>
      <c r="T284">
        <f t="shared" si="19"/>
        <v>0</v>
      </c>
    </row>
    <row r="285" spans="1:20" x14ac:dyDescent="0.25">
      <c r="A285" t="s">
        <v>351</v>
      </c>
      <c r="B285">
        <v>284</v>
      </c>
      <c r="C285" t="s">
        <v>21</v>
      </c>
      <c r="D285" t="s">
        <v>22</v>
      </c>
      <c r="E285" t="s">
        <v>53</v>
      </c>
      <c r="F285" s="2">
        <v>45658</v>
      </c>
      <c r="G285" s="2">
        <v>45658</v>
      </c>
      <c r="H285" t="s">
        <v>24</v>
      </c>
      <c r="I285" t="s">
        <v>62</v>
      </c>
      <c r="J285" s="2">
        <v>45661</v>
      </c>
      <c r="K285" s="2">
        <v>45661</v>
      </c>
      <c r="L285" t="s">
        <v>26</v>
      </c>
      <c r="M285" t="s">
        <v>27</v>
      </c>
      <c r="O285" t="s">
        <v>28</v>
      </c>
      <c r="Q285">
        <f t="shared" si="16"/>
        <v>1</v>
      </c>
      <c r="R285" s="3">
        <f t="shared" si="17"/>
        <v>3</v>
      </c>
      <c r="S285">
        <f t="shared" si="18"/>
        <v>0</v>
      </c>
      <c r="T285">
        <f t="shared" si="19"/>
        <v>0</v>
      </c>
    </row>
    <row r="286" spans="1:20" x14ac:dyDescent="0.25">
      <c r="A286" t="s">
        <v>352</v>
      </c>
      <c r="B286">
        <v>285</v>
      </c>
      <c r="C286" t="s">
        <v>36</v>
      </c>
      <c r="D286" t="s">
        <v>22</v>
      </c>
      <c r="E286" t="s">
        <v>23</v>
      </c>
      <c r="F286" s="2">
        <v>46017</v>
      </c>
      <c r="G286" s="2">
        <v>46019</v>
      </c>
      <c r="H286" t="s">
        <v>41</v>
      </c>
      <c r="I286" t="s">
        <v>54</v>
      </c>
      <c r="J286" s="2">
        <v>46022</v>
      </c>
      <c r="K286" s="2">
        <v>46022</v>
      </c>
      <c r="L286" t="s">
        <v>26</v>
      </c>
      <c r="M286" t="s">
        <v>57</v>
      </c>
      <c r="O286" t="s">
        <v>37</v>
      </c>
      <c r="Q286">
        <f t="shared" si="16"/>
        <v>1</v>
      </c>
      <c r="R286" s="3">
        <f t="shared" si="17"/>
        <v>5</v>
      </c>
      <c r="S286">
        <f t="shared" si="18"/>
        <v>0</v>
      </c>
      <c r="T286">
        <f t="shared" si="19"/>
        <v>0</v>
      </c>
    </row>
    <row r="287" spans="1:20" x14ac:dyDescent="0.25">
      <c r="A287" t="s">
        <v>353</v>
      </c>
      <c r="B287">
        <v>286</v>
      </c>
      <c r="C287" t="s">
        <v>59</v>
      </c>
      <c r="D287" t="s">
        <v>64</v>
      </c>
      <c r="E287" t="s">
        <v>60</v>
      </c>
      <c r="F287" s="2">
        <v>45814</v>
      </c>
      <c r="G287" s="2">
        <v>45816</v>
      </c>
      <c r="H287" t="s">
        <v>24</v>
      </c>
      <c r="I287" t="s">
        <v>73</v>
      </c>
      <c r="J287" s="2">
        <v>45818</v>
      </c>
      <c r="K287" s="2">
        <v>45818</v>
      </c>
      <c r="L287" t="s">
        <v>46</v>
      </c>
      <c r="M287" t="s">
        <v>27</v>
      </c>
      <c r="O287" t="s">
        <v>28</v>
      </c>
      <c r="Q287">
        <f t="shared" si="16"/>
        <v>1</v>
      </c>
      <c r="R287" s="3">
        <f t="shared" si="17"/>
        <v>4</v>
      </c>
      <c r="S287">
        <f t="shared" si="18"/>
        <v>0</v>
      </c>
      <c r="T287">
        <f t="shared" si="19"/>
        <v>1</v>
      </c>
    </row>
    <row r="288" spans="1:20" x14ac:dyDescent="0.25">
      <c r="A288" t="s">
        <v>354</v>
      </c>
      <c r="B288">
        <v>287</v>
      </c>
      <c r="C288" t="s">
        <v>21</v>
      </c>
      <c r="D288" t="s">
        <v>22</v>
      </c>
      <c r="E288" t="s">
        <v>60</v>
      </c>
      <c r="F288" s="2">
        <v>45949</v>
      </c>
      <c r="G288" s="2">
        <v>45950</v>
      </c>
      <c r="H288" t="s">
        <v>61</v>
      </c>
      <c r="I288" t="s">
        <v>25</v>
      </c>
      <c r="J288" s="2">
        <v>45953</v>
      </c>
      <c r="K288" s="2">
        <v>45953</v>
      </c>
      <c r="L288" t="s">
        <v>46</v>
      </c>
      <c r="M288" t="s">
        <v>27</v>
      </c>
      <c r="O288" t="s">
        <v>28</v>
      </c>
      <c r="Q288">
        <f t="shared" si="16"/>
        <v>1</v>
      </c>
      <c r="R288" s="3">
        <f t="shared" si="17"/>
        <v>4</v>
      </c>
      <c r="S288">
        <f t="shared" si="18"/>
        <v>0</v>
      </c>
      <c r="T288">
        <f t="shared" si="19"/>
        <v>1</v>
      </c>
    </row>
    <row r="289" spans="1:20" x14ac:dyDescent="0.25">
      <c r="A289" t="s">
        <v>355</v>
      </c>
      <c r="B289">
        <v>288</v>
      </c>
      <c r="C289" t="s">
        <v>21</v>
      </c>
      <c r="D289" t="s">
        <v>30</v>
      </c>
      <c r="E289" t="s">
        <v>23</v>
      </c>
      <c r="F289" s="2">
        <v>45879</v>
      </c>
      <c r="G289" s="2">
        <v>45879</v>
      </c>
      <c r="H289" t="s">
        <v>31</v>
      </c>
      <c r="I289" t="s">
        <v>25</v>
      </c>
      <c r="J289" s="2">
        <v>45885</v>
      </c>
      <c r="K289" s="2">
        <v>45885</v>
      </c>
      <c r="L289" t="s">
        <v>26</v>
      </c>
      <c r="M289" t="s">
        <v>27</v>
      </c>
      <c r="O289" t="s">
        <v>69</v>
      </c>
      <c r="Q289">
        <f t="shared" si="16"/>
        <v>1</v>
      </c>
      <c r="R289" s="3">
        <f t="shared" si="17"/>
        <v>6</v>
      </c>
      <c r="S289">
        <f t="shared" si="18"/>
        <v>0</v>
      </c>
      <c r="T289">
        <f t="shared" si="19"/>
        <v>0</v>
      </c>
    </row>
    <row r="290" spans="1:20" x14ac:dyDescent="0.25">
      <c r="A290" t="s">
        <v>356</v>
      </c>
      <c r="B290">
        <v>289</v>
      </c>
      <c r="C290" t="s">
        <v>51</v>
      </c>
      <c r="D290" t="s">
        <v>52</v>
      </c>
      <c r="E290" t="s">
        <v>60</v>
      </c>
      <c r="F290" s="2">
        <v>45707</v>
      </c>
      <c r="G290" s="2">
        <v>45707</v>
      </c>
      <c r="H290" t="s">
        <v>45</v>
      </c>
      <c r="I290" t="s">
        <v>54</v>
      </c>
      <c r="J290" s="2">
        <v>45708</v>
      </c>
      <c r="K290" s="2">
        <v>45708</v>
      </c>
      <c r="L290" t="s">
        <v>26</v>
      </c>
      <c r="M290" t="s">
        <v>57</v>
      </c>
      <c r="O290" t="s">
        <v>37</v>
      </c>
      <c r="Q290">
        <f t="shared" si="16"/>
        <v>1</v>
      </c>
      <c r="R290" s="3">
        <f t="shared" si="17"/>
        <v>1</v>
      </c>
      <c r="S290">
        <f t="shared" si="18"/>
        <v>0</v>
      </c>
      <c r="T290">
        <f t="shared" si="19"/>
        <v>0</v>
      </c>
    </row>
    <row r="291" spans="1:20" x14ac:dyDescent="0.25">
      <c r="A291" t="s">
        <v>357</v>
      </c>
      <c r="B291">
        <v>290</v>
      </c>
      <c r="C291" t="s">
        <v>78</v>
      </c>
      <c r="D291" t="s">
        <v>22</v>
      </c>
      <c r="E291" t="s">
        <v>23</v>
      </c>
      <c r="F291" s="2">
        <v>45706</v>
      </c>
      <c r="G291" s="2">
        <v>45708</v>
      </c>
      <c r="H291" t="s">
        <v>41</v>
      </c>
      <c r="I291" t="s">
        <v>62</v>
      </c>
      <c r="J291" s="2">
        <v>45714</v>
      </c>
      <c r="K291" s="2">
        <v>45714</v>
      </c>
      <c r="L291" t="s">
        <v>26</v>
      </c>
      <c r="M291" t="s">
        <v>57</v>
      </c>
      <c r="O291" t="s">
        <v>43</v>
      </c>
      <c r="Q291">
        <f t="shared" si="16"/>
        <v>1</v>
      </c>
      <c r="R291" s="3">
        <f t="shared" si="17"/>
        <v>8</v>
      </c>
      <c r="S291">
        <f t="shared" si="18"/>
        <v>0</v>
      </c>
      <c r="T291">
        <f t="shared" si="19"/>
        <v>0</v>
      </c>
    </row>
    <row r="292" spans="1:20" x14ac:dyDescent="0.25">
      <c r="A292" t="s">
        <v>358</v>
      </c>
      <c r="B292">
        <v>291</v>
      </c>
      <c r="C292" t="s">
        <v>51</v>
      </c>
      <c r="D292" t="s">
        <v>64</v>
      </c>
      <c r="E292" t="s">
        <v>23</v>
      </c>
      <c r="F292" s="2">
        <v>45734</v>
      </c>
      <c r="G292" s="2">
        <v>45734</v>
      </c>
      <c r="H292" t="s">
        <v>31</v>
      </c>
      <c r="I292" t="s">
        <v>42</v>
      </c>
      <c r="J292" s="2">
        <v>45735</v>
      </c>
      <c r="K292" s="2">
        <v>45735</v>
      </c>
      <c r="L292" t="s">
        <v>26</v>
      </c>
      <c r="M292" t="s">
        <v>57</v>
      </c>
      <c r="O292" t="s">
        <v>34</v>
      </c>
      <c r="Q292">
        <f t="shared" si="16"/>
        <v>1</v>
      </c>
      <c r="R292" s="3">
        <f t="shared" si="17"/>
        <v>1</v>
      </c>
      <c r="S292">
        <f t="shared" si="18"/>
        <v>0</v>
      </c>
      <c r="T292">
        <f t="shared" si="19"/>
        <v>0</v>
      </c>
    </row>
    <row r="293" spans="1:20" x14ac:dyDescent="0.25">
      <c r="A293" t="s">
        <v>359</v>
      </c>
      <c r="B293">
        <v>292</v>
      </c>
      <c r="C293" t="s">
        <v>59</v>
      </c>
      <c r="D293" t="s">
        <v>22</v>
      </c>
      <c r="E293" t="s">
        <v>53</v>
      </c>
      <c r="F293" s="2">
        <v>45733</v>
      </c>
      <c r="G293" s="2">
        <v>45735</v>
      </c>
      <c r="H293" t="s">
        <v>24</v>
      </c>
      <c r="I293" t="s">
        <v>83</v>
      </c>
      <c r="J293" s="2">
        <v>45736</v>
      </c>
      <c r="K293" s="2">
        <v>45736</v>
      </c>
      <c r="L293" t="s">
        <v>46</v>
      </c>
      <c r="M293" t="s">
        <v>27</v>
      </c>
      <c r="O293" t="s">
        <v>37</v>
      </c>
      <c r="P293" t="s">
        <v>93</v>
      </c>
      <c r="Q293">
        <f t="shared" si="16"/>
        <v>1</v>
      </c>
      <c r="R293" s="3">
        <f t="shared" si="17"/>
        <v>3</v>
      </c>
      <c r="S293">
        <f t="shared" si="18"/>
        <v>0</v>
      </c>
      <c r="T293">
        <f t="shared" si="19"/>
        <v>1</v>
      </c>
    </row>
    <row r="294" spans="1:20" x14ac:dyDescent="0.25">
      <c r="A294" t="s">
        <v>360</v>
      </c>
      <c r="B294">
        <v>293</v>
      </c>
      <c r="C294" t="s">
        <v>21</v>
      </c>
      <c r="D294" t="s">
        <v>39</v>
      </c>
      <c r="E294" t="s">
        <v>53</v>
      </c>
      <c r="F294" s="2">
        <v>45664</v>
      </c>
      <c r="G294" s="2">
        <v>45665</v>
      </c>
      <c r="H294" t="s">
        <v>61</v>
      </c>
      <c r="I294" t="s">
        <v>83</v>
      </c>
      <c r="J294" s="2">
        <v>45670</v>
      </c>
      <c r="K294" s="2">
        <v>45670</v>
      </c>
      <c r="L294" t="s">
        <v>26</v>
      </c>
      <c r="M294" t="s">
        <v>27</v>
      </c>
      <c r="O294" t="s">
        <v>37</v>
      </c>
      <c r="Q294">
        <f t="shared" si="16"/>
        <v>1</v>
      </c>
      <c r="R294" s="3">
        <f t="shared" si="17"/>
        <v>6</v>
      </c>
      <c r="S294">
        <f t="shared" si="18"/>
        <v>0</v>
      </c>
      <c r="T294">
        <f t="shared" si="19"/>
        <v>0</v>
      </c>
    </row>
    <row r="295" spans="1:20" x14ac:dyDescent="0.25">
      <c r="A295" t="s">
        <v>361</v>
      </c>
      <c r="B295">
        <v>294</v>
      </c>
      <c r="C295" t="s">
        <v>21</v>
      </c>
      <c r="D295" t="s">
        <v>52</v>
      </c>
      <c r="E295" t="s">
        <v>23</v>
      </c>
      <c r="F295" s="2">
        <v>45664</v>
      </c>
      <c r="G295" s="2">
        <v>45665</v>
      </c>
      <c r="H295" t="s">
        <v>45</v>
      </c>
      <c r="I295" t="s">
        <v>42</v>
      </c>
      <c r="J295" s="2">
        <v>45668</v>
      </c>
      <c r="K295" s="2">
        <v>45668</v>
      </c>
      <c r="L295" t="s">
        <v>26</v>
      </c>
      <c r="M295" t="s">
        <v>57</v>
      </c>
      <c r="O295" t="s">
        <v>81</v>
      </c>
      <c r="Q295">
        <f t="shared" si="16"/>
        <v>1</v>
      </c>
      <c r="R295" s="3">
        <f t="shared" si="17"/>
        <v>4</v>
      </c>
      <c r="S295">
        <f t="shared" si="18"/>
        <v>0</v>
      </c>
      <c r="T295">
        <f t="shared" si="19"/>
        <v>0</v>
      </c>
    </row>
    <row r="296" spans="1:20" x14ac:dyDescent="0.25">
      <c r="A296" t="s">
        <v>362</v>
      </c>
      <c r="B296">
        <v>295</v>
      </c>
      <c r="C296" t="s">
        <v>59</v>
      </c>
      <c r="D296" t="s">
        <v>22</v>
      </c>
      <c r="E296" t="s">
        <v>56</v>
      </c>
      <c r="F296" s="2">
        <v>46002</v>
      </c>
      <c r="G296" s="2">
        <v>46003</v>
      </c>
      <c r="H296" t="s">
        <v>45</v>
      </c>
      <c r="I296" t="s">
        <v>85</v>
      </c>
      <c r="J296" s="2">
        <v>46004</v>
      </c>
      <c r="K296" s="2">
        <v>46004</v>
      </c>
      <c r="L296" t="s">
        <v>46</v>
      </c>
      <c r="M296" t="s">
        <v>27</v>
      </c>
      <c r="O296" t="s">
        <v>37</v>
      </c>
      <c r="Q296">
        <f t="shared" si="16"/>
        <v>1</v>
      </c>
      <c r="R296" s="3">
        <f t="shared" si="17"/>
        <v>2</v>
      </c>
      <c r="S296">
        <f t="shared" si="18"/>
        <v>0</v>
      </c>
      <c r="T296">
        <f t="shared" si="19"/>
        <v>1</v>
      </c>
    </row>
    <row r="297" spans="1:20" x14ac:dyDescent="0.25">
      <c r="A297" t="s">
        <v>363</v>
      </c>
      <c r="B297">
        <v>296</v>
      </c>
      <c r="C297" t="s">
        <v>59</v>
      </c>
      <c r="D297" t="s">
        <v>52</v>
      </c>
      <c r="E297" t="s">
        <v>60</v>
      </c>
      <c r="F297" s="2">
        <v>45704</v>
      </c>
      <c r="G297" s="2">
        <v>45705</v>
      </c>
      <c r="H297" t="s">
        <v>45</v>
      </c>
      <c r="I297" t="s">
        <v>25</v>
      </c>
      <c r="J297" s="2">
        <v>45709</v>
      </c>
      <c r="K297" s="2">
        <v>45709</v>
      </c>
      <c r="L297" t="s">
        <v>26</v>
      </c>
      <c r="M297" t="s">
        <v>57</v>
      </c>
      <c r="O297" t="s">
        <v>69</v>
      </c>
      <c r="Q297">
        <f t="shared" si="16"/>
        <v>1</v>
      </c>
      <c r="R297" s="3">
        <f t="shared" si="17"/>
        <v>5</v>
      </c>
      <c r="S297">
        <f t="shared" si="18"/>
        <v>0</v>
      </c>
      <c r="T297">
        <f t="shared" si="19"/>
        <v>0</v>
      </c>
    </row>
    <row r="298" spans="1:20" x14ac:dyDescent="0.25">
      <c r="A298" t="s">
        <v>364</v>
      </c>
      <c r="B298">
        <v>297</v>
      </c>
      <c r="C298" t="s">
        <v>21</v>
      </c>
      <c r="D298" t="s">
        <v>39</v>
      </c>
      <c r="E298" t="s">
        <v>56</v>
      </c>
      <c r="F298" s="2">
        <v>45876</v>
      </c>
      <c r="G298" s="2">
        <v>45878</v>
      </c>
      <c r="H298" t="s">
        <v>61</v>
      </c>
      <c r="I298" t="s">
        <v>62</v>
      </c>
      <c r="J298" s="2">
        <v>45882</v>
      </c>
      <c r="K298" s="2">
        <v>45883</v>
      </c>
      <c r="L298" t="s">
        <v>26</v>
      </c>
      <c r="M298" t="s">
        <v>57</v>
      </c>
      <c r="O298" t="s">
        <v>28</v>
      </c>
      <c r="P298" t="s">
        <v>76</v>
      </c>
      <c r="Q298">
        <f t="shared" si="16"/>
        <v>0</v>
      </c>
      <c r="R298" s="3">
        <f t="shared" si="17"/>
        <v>6</v>
      </c>
      <c r="S298">
        <f t="shared" si="18"/>
        <v>0</v>
      </c>
      <c r="T298">
        <f t="shared" si="19"/>
        <v>0</v>
      </c>
    </row>
    <row r="299" spans="1:20" x14ac:dyDescent="0.25">
      <c r="A299" t="s">
        <v>365</v>
      </c>
      <c r="B299">
        <v>298</v>
      </c>
      <c r="C299" t="s">
        <v>21</v>
      </c>
      <c r="D299" t="s">
        <v>52</v>
      </c>
      <c r="E299" t="s">
        <v>40</v>
      </c>
      <c r="F299" s="2">
        <v>45703</v>
      </c>
      <c r="G299" s="2">
        <v>45703</v>
      </c>
      <c r="H299" t="s">
        <v>31</v>
      </c>
      <c r="I299" t="s">
        <v>54</v>
      </c>
      <c r="J299" s="2">
        <v>45704</v>
      </c>
      <c r="K299" s="2">
        <v>45705</v>
      </c>
      <c r="L299" t="s">
        <v>26</v>
      </c>
      <c r="M299" t="s">
        <v>27</v>
      </c>
      <c r="O299" t="s">
        <v>34</v>
      </c>
      <c r="Q299">
        <f t="shared" si="16"/>
        <v>0</v>
      </c>
      <c r="R299" s="3">
        <f t="shared" si="17"/>
        <v>1</v>
      </c>
      <c r="S299">
        <f t="shared" si="18"/>
        <v>0</v>
      </c>
      <c r="T299">
        <f t="shared" si="19"/>
        <v>0</v>
      </c>
    </row>
    <row r="300" spans="1:20" x14ac:dyDescent="0.25">
      <c r="A300" t="s">
        <v>366</v>
      </c>
      <c r="B300">
        <v>299</v>
      </c>
      <c r="C300" t="s">
        <v>78</v>
      </c>
      <c r="D300" t="s">
        <v>22</v>
      </c>
      <c r="E300" t="s">
        <v>56</v>
      </c>
      <c r="F300" s="2">
        <v>45751</v>
      </c>
      <c r="G300" s="2">
        <v>45751</v>
      </c>
      <c r="H300" t="s">
        <v>31</v>
      </c>
      <c r="I300" t="s">
        <v>25</v>
      </c>
      <c r="J300" s="2">
        <v>45754</v>
      </c>
      <c r="K300" s="2">
        <v>45754</v>
      </c>
      <c r="L300" t="s">
        <v>26</v>
      </c>
      <c r="M300" t="s">
        <v>57</v>
      </c>
      <c r="O300" t="s">
        <v>37</v>
      </c>
      <c r="Q300">
        <f t="shared" si="16"/>
        <v>1</v>
      </c>
      <c r="R300" s="3">
        <f t="shared" si="17"/>
        <v>3</v>
      </c>
      <c r="S300">
        <f t="shared" si="18"/>
        <v>0</v>
      </c>
      <c r="T300">
        <f t="shared" si="19"/>
        <v>0</v>
      </c>
    </row>
    <row r="301" spans="1:20" x14ac:dyDescent="0.25">
      <c r="A301" t="s">
        <v>367</v>
      </c>
      <c r="B301">
        <v>300</v>
      </c>
      <c r="C301" t="s">
        <v>36</v>
      </c>
      <c r="D301" t="s">
        <v>22</v>
      </c>
      <c r="E301" t="s">
        <v>40</v>
      </c>
      <c r="F301" s="2">
        <v>45958</v>
      </c>
      <c r="G301" s="2">
        <v>45959</v>
      </c>
      <c r="H301" t="s">
        <v>61</v>
      </c>
      <c r="I301" t="s">
        <v>83</v>
      </c>
      <c r="J301" s="2">
        <v>45961</v>
      </c>
      <c r="K301" s="2">
        <v>45961</v>
      </c>
      <c r="L301" t="s">
        <v>26</v>
      </c>
      <c r="M301" t="s">
        <v>27</v>
      </c>
      <c r="O301" t="s">
        <v>34</v>
      </c>
      <c r="P301" t="s">
        <v>76</v>
      </c>
      <c r="Q301">
        <f t="shared" si="16"/>
        <v>1</v>
      </c>
      <c r="R301" s="3">
        <f t="shared" si="17"/>
        <v>3</v>
      </c>
      <c r="S301">
        <f t="shared" si="18"/>
        <v>0</v>
      </c>
      <c r="T301">
        <f t="shared" si="19"/>
        <v>0</v>
      </c>
    </row>
    <row r="302" spans="1:20" x14ac:dyDescent="0.25">
      <c r="A302" t="s">
        <v>368</v>
      </c>
      <c r="B302">
        <v>301</v>
      </c>
      <c r="C302" t="s">
        <v>21</v>
      </c>
      <c r="D302" t="s">
        <v>30</v>
      </c>
      <c r="E302" t="s">
        <v>23</v>
      </c>
      <c r="F302" s="2">
        <v>46004</v>
      </c>
      <c r="G302" s="2">
        <v>46006</v>
      </c>
      <c r="H302" t="s">
        <v>61</v>
      </c>
      <c r="I302" t="s">
        <v>85</v>
      </c>
      <c r="J302" s="2">
        <v>46008</v>
      </c>
      <c r="K302" s="2">
        <v>46009</v>
      </c>
      <c r="L302" t="s">
        <v>26</v>
      </c>
      <c r="M302" t="s">
        <v>32</v>
      </c>
      <c r="N302" t="s">
        <v>75</v>
      </c>
      <c r="O302" t="s">
        <v>28</v>
      </c>
      <c r="P302" t="s">
        <v>71</v>
      </c>
      <c r="Q302">
        <f t="shared" si="16"/>
        <v>0</v>
      </c>
      <c r="R302" s="3">
        <f t="shared" si="17"/>
        <v>4</v>
      </c>
      <c r="S302">
        <f t="shared" si="18"/>
        <v>1</v>
      </c>
      <c r="T302">
        <f t="shared" si="19"/>
        <v>0</v>
      </c>
    </row>
    <row r="303" spans="1:20" x14ac:dyDescent="0.25">
      <c r="A303" t="s">
        <v>369</v>
      </c>
      <c r="B303">
        <v>302</v>
      </c>
      <c r="C303" t="s">
        <v>78</v>
      </c>
      <c r="D303" t="s">
        <v>52</v>
      </c>
      <c r="E303" t="s">
        <v>60</v>
      </c>
      <c r="F303" s="2">
        <v>45863</v>
      </c>
      <c r="G303" s="2">
        <v>45865</v>
      </c>
      <c r="H303" t="s">
        <v>41</v>
      </c>
      <c r="I303" t="s">
        <v>83</v>
      </c>
      <c r="J303" s="2">
        <v>45869</v>
      </c>
      <c r="K303" s="2">
        <v>45869</v>
      </c>
      <c r="L303" t="s">
        <v>46</v>
      </c>
      <c r="M303" t="s">
        <v>27</v>
      </c>
      <c r="O303" t="s">
        <v>34</v>
      </c>
      <c r="Q303">
        <f t="shared" si="16"/>
        <v>1</v>
      </c>
      <c r="R303" s="3">
        <f t="shared" si="17"/>
        <v>6</v>
      </c>
      <c r="S303">
        <f t="shared" si="18"/>
        <v>0</v>
      </c>
      <c r="T303">
        <f t="shared" si="19"/>
        <v>1</v>
      </c>
    </row>
    <row r="304" spans="1:20" x14ac:dyDescent="0.25">
      <c r="A304" t="s">
        <v>370</v>
      </c>
      <c r="B304">
        <v>303</v>
      </c>
      <c r="C304" t="s">
        <v>36</v>
      </c>
      <c r="D304" t="s">
        <v>52</v>
      </c>
      <c r="E304" t="s">
        <v>56</v>
      </c>
      <c r="F304" s="2">
        <v>45662</v>
      </c>
      <c r="G304" s="2">
        <v>45664</v>
      </c>
      <c r="H304" t="s">
        <v>45</v>
      </c>
      <c r="I304" t="s">
        <v>83</v>
      </c>
      <c r="J304" s="2">
        <v>45667</v>
      </c>
      <c r="K304" s="2">
        <v>45667</v>
      </c>
      <c r="L304" t="s">
        <v>26</v>
      </c>
      <c r="M304" t="s">
        <v>27</v>
      </c>
      <c r="O304" t="s">
        <v>28</v>
      </c>
      <c r="Q304">
        <f t="shared" si="16"/>
        <v>1</v>
      </c>
      <c r="R304" s="3">
        <f t="shared" si="17"/>
        <v>5</v>
      </c>
      <c r="S304">
        <f t="shared" si="18"/>
        <v>0</v>
      </c>
      <c r="T304">
        <f t="shared" si="19"/>
        <v>0</v>
      </c>
    </row>
    <row r="305" spans="1:20" x14ac:dyDescent="0.25">
      <c r="A305" t="s">
        <v>371</v>
      </c>
      <c r="B305">
        <v>304</v>
      </c>
      <c r="C305" t="s">
        <v>59</v>
      </c>
      <c r="D305" t="s">
        <v>39</v>
      </c>
      <c r="E305" t="s">
        <v>53</v>
      </c>
      <c r="F305" s="2">
        <v>46017</v>
      </c>
      <c r="G305" s="2">
        <v>46019</v>
      </c>
      <c r="H305" t="s">
        <v>41</v>
      </c>
      <c r="I305" t="s">
        <v>54</v>
      </c>
      <c r="J305" s="2">
        <v>46020</v>
      </c>
      <c r="K305" s="2">
        <v>46022</v>
      </c>
      <c r="L305" t="s">
        <v>26</v>
      </c>
      <c r="M305" t="s">
        <v>32</v>
      </c>
      <c r="N305" t="s">
        <v>264</v>
      </c>
      <c r="O305" t="s">
        <v>37</v>
      </c>
      <c r="Q305">
        <f t="shared" si="16"/>
        <v>0</v>
      </c>
      <c r="R305" s="3">
        <f t="shared" si="17"/>
        <v>3</v>
      </c>
      <c r="S305">
        <f t="shared" si="18"/>
        <v>1</v>
      </c>
      <c r="T305">
        <f t="shared" si="19"/>
        <v>0</v>
      </c>
    </row>
    <row r="306" spans="1:20" x14ac:dyDescent="0.25">
      <c r="A306" t="s">
        <v>372</v>
      </c>
      <c r="B306">
        <v>305</v>
      </c>
      <c r="C306" t="s">
        <v>59</v>
      </c>
      <c r="D306" t="s">
        <v>39</v>
      </c>
      <c r="E306" t="s">
        <v>40</v>
      </c>
      <c r="F306" s="2">
        <v>45684</v>
      </c>
      <c r="G306" s="2">
        <v>45685</v>
      </c>
      <c r="H306" t="s">
        <v>45</v>
      </c>
      <c r="I306" t="s">
        <v>25</v>
      </c>
      <c r="J306" s="2">
        <v>45687</v>
      </c>
      <c r="K306" s="2">
        <v>45687</v>
      </c>
      <c r="L306" t="s">
        <v>26</v>
      </c>
      <c r="M306" t="s">
        <v>27</v>
      </c>
      <c r="O306" t="s">
        <v>69</v>
      </c>
      <c r="P306" t="s">
        <v>76</v>
      </c>
      <c r="Q306">
        <f t="shared" si="16"/>
        <v>1</v>
      </c>
      <c r="R306" s="3">
        <f t="shared" si="17"/>
        <v>3</v>
      </c>
      <c r="S306">
        <f t="shared" si="18"/>
        <v>0</v>
      </c>
      <c r="T306">
        <f t="shared" si="19"/>
        <v>0</v>
      </c>
    </row>
    <row r="307" spans="1:20" x14ac:dyDescent="0.25">
      <c r="A307" t="s">
        <v>373</v>
      </c>
      <c r="B307">
        <v>306</v>
      </c>
      <c r="C307" t="s">
        <v>78</v>
      </c>
      <c r="D307" t="s">
        <v>39</v>
      </c>
      <c r="E307" t="s">
        <v>56</v>
      </c>
      <c r="F307" s="2">
        <v>45811</v>
      </c>
      <c r="G307" s="2">
        <v>45812</v>
      </c>
      <c r="H307" t="s">
        <v>31</v>
      </c>
      <c r="I307" t="s">
        <v>25</v>
      </c>
      <c r="J307" s="2">
        <v>45815</v>
      </c>
      <c r="K307" s="2">
        <v>45816</v>
      </c>
      <c r="L307" t="s">
        <v>26</v>
      </c>
      <c r="M307" t="s">
        <v>27</v>
      </c>
      <c r="O307" t="s">
        <v>43</v>
      </c>
      <c r="Q307">
        <f t="shared" si="16"/>
        <v>0</v>
      </c>
      <c r="R307" s="3">
        <f t="shared" si="17"/>
        <v>4</v>
      </c>
      <c r="S307">
        <f t="shared" si="18"/>
        <v>0</v>
      </c>
      <c r="T307">
        <f t="shared" si="19"/>
        <v>0</v>
      </c>
    </row>
    <row r="308" spans="1:20" x14ac:dyDescent="0.25">
      <c r="A308" t="s">
        <v>374</v>
      </c>
      <c r="B308">
        <v>307</v>
      </c>
      <c r="C308" t="s">
        <v>59</v>
      </c>
      <c r="D308" t="s">
        <v>22</v>
      </c>
      <c r="E308" t="s">
        <v>40</v>
      </c>
      <c r="F308" s="2">
        <v>45894</v>
      </c>
      <c r="G308" s="2">
        <v>45896</v>
      </c>
      <c r="H308" t="s">
        <v>31</v>
      </c>
      <c r="I308" t="s">
        <v>73</v>
      </c>
      <c r="J308" s="2">
        <v>45900</v>
      </c>
      <c r="K308" s="2">
        <v>45900</v>
      </c>
      <c r="L308" t="s">
        <v>46</v>
      </c>
      <c r="M308" t="s">
        <v>27</v>
      </c>
      <c r="O308" t="s">
        <v>81</v>
      </c>
      <c r="Q308">
        <f t="shared" si="16"/>
        <v>1</v>
      </c>
      <c r="R308" s="3">
        <f t="shared" si="17"/>
        <v>6</v>
      </c>
      <c r="S308">
        <f t="shared" si="18"/>
        <v>0</v>
      </c>
      <c r="T308">
        <f t="shared" si="19"/>
        <v>1</v>
      </c>
    </row>
    <row r="309" spans="1:20" x14ac:dyDescent="0.25">
      <c r="A309" t="s">
        <v>375</v>
      </c>
      <c r="B309">
        <v>308</v>
      </c>
      <c r="C309" t="s">
        <v>21</v>
      </c>
      <c r="D309" t="s">
        <v>64</v>
      </c>
      <c r="E309" t="s">
        <v>40</v>
      </c>
      <c r="F309" s="2">
        <v>45992</v>
      </c>
      <c r="G309" s="2">
        <v>45994</v>
      </c>
      <c r="H309" t="s">
        <v>24</v>
      </c>
      <c r="I309" t="s">
        <v>54</v>
      </c>
      <c r="J309" s="2">
        <v>45996</v>
      </c>
      <c r="K309" s="2">
        <v>45996</v>
      </c>
      <c r="L309" t="s">
        <v>46</v>
      </c>
      <c r="M309" t="s">
        <v>57</v>
      </c>
      <c r="O309" t="s">
        <v>43</v>
      </c>
      <c r="Q309">
        <f t="shared" si="16"/>
        <v>1</v>
      </c>
      <c r="R309" s="3">
        <f t="shared" si="17"/>
        <v>4</v>
      </c>
      <c r="S309">
        <f t="shared" si="18"/>
        <v>0</v>
      </c>
      <c r="T309">
        <f t="shared" si="19"/>
        <v>1</v>
      </c>
    </row>
    <row r="310" spans="1:20" x14ac:dyDescent="0.25">
      <c r="A310" t="s">
        <v>376</v>
      </c>
      <c r="B310">
        <v>309</v>
      </c>
      <c r="C310" t="s">
        <v>51</v>
      </c>
      <c r="D310" t="s">
        <v>39</v>
      </c>
      <c r="E310" t="s">
        <v>53</v>
      </c>
      <c r="F310" s="2">
        <v>45974</v>
      </c>
      <c r="G310" s="2">
        <v>45974</v>
      </c>
      <c r="H310" t="s">
        <v>24</v>
      </c>
      <c r="I310" t="s">
        <v>85</v>
      </c>
      <c r="J310" s="2">
        <v>45976</v>
      </c>
      <c r="K310" s="2">
        <v>45977</v>
      </c>
      <c r="L310" t="s">
        <v>26</v>
      </c>
      <c r="M310" t="s">
        <v>32</v>
      </c>
      <c r="N310" t="s">
        <v>49</v>
      </c>
      <c r="O310" t="s">
        <v>81</v>
      </c>
      <c r="P310" t="s">
        <v>88</v>
      </c>
      <c r="Q310">
        <f t="shared" si="16"/>
        <v>0</v>
      </c>
      <c r="R310" s="3">
        <f t="shared" si="17"/>
        <v>2</v>
      </c>
      <c r="S310">
        <f t="shared" si="18"/>
        <v>1</v>
      </c>
      <c r="T310">
        <f t="shared" si="19"/>
        <v>0</v>
      </c>
    </row>
    <row r="311" spans="1:20" x14ac:dyDescent="0.25">
      <c r="A311" t="s">
        <v>377</v>
      </c>
      <c r="B311">
        <v>310</v>
      </c>
      <c r="C311" t="s">
        <v>78</v>
      </c>
      <c r="D311" t="s">
        <v>52</v>
      </c>
      <c r="E311" t="s">
        <v>23</v>
      </c>
      <c r="F311" s="2">
        <v>45901</v>
      </c>
      <c r="G311" s="2">
        <v>45901</v>
      </c>
      <c r="H311" t="s">
        <v>45</v>
      </c>
      <c r="I311" t="s">
        <v>85</v>
      </c>
      <c r="J311" s="2">
        <v>45903</v>
      </c>
      <c r="K311" s="2">
        <v>45903</v>
      </c>
      <c r="L311" t="s">
        <v>26</v>
      </c>
      <c r="M311" t="s">
        <v>57</v>
      </c>
      <c r="O311" t="s">
        <v>43</v>
      </c>
      <c r="P311" t="s">
        <v>71</v>
      </c>
      <c r="Q311">
        <f t="shared" si="16"/>
        <v>1</v>
      </c>
      <c r="R311" s="3">
        <f t="shared" si="17"/>
        <v>2</v>
      </c>
      <c r="S311">
        <f t="shared" si="18"/>
        <v>0</v>
      </c>
      <c r="T311">
        <f t="shared" si="19"/>
        <v>0</v>
      </c>
    </row>
    <row r="312" spans="1:20" x14ac:dyDescent="0.25">
      <c r="A312" t="s">
        <v>378</v>
      </c>
      <c r="B312">
        <v>311</v>
      </c>
      <c r="C312" t="s">
        <v>59</v>
      </c>
      <c r="D312" t="s">
        <v>52</v>
      </c>
      <c r="E312" t="s">
        <v>23</v>
      </c>
      <c r="F312" s="2">
        <v>45815</v>
      </c>
      <c r="G312" s="2">
        <v>45817</v>
      </c>
      <c r="H312" t="s">
        <v>61</v>
      </c>
      <c r="I312" t="s">
        <v>62</v>
      </c>
      <c r="J312" s="2">
        <v>45819</v>
      </c>
      <c r="K312" s="2">
        <v>45819</v>
      </c>
      <c r="L312" t="s">
        <v>26</v>
      </c>
      <c r="M312" t="s">
        <v>27</v>
      </c>
      <c r="O312" t="s">
        <v>43</v>
      </c>
      <c r="Q312">
        <f t="shared" si="16"/>
        <v>1</v>
      </c>
      <c r="R312" s="3">
        <f t="shared" si="17"/>
        <v>4</v>
      </c>
      <c r="S312">
        <f t="shared" si="18"/>
        <v>0</v>
      </c>
      <c r="T312">
        <f t="shared" si="19"/>
        <v>0</v>
      </c>
    </row>
    <row r="313" spans="1:20" x14ac:dyDescent="0.25">
      <c r="A313" t="s">
        <v>379</v>
      </c>
      <c r="B313">
        <v>312</v>
      </c>
      <c r="C313" t="s">
        <v>36</v>
      </c>
      <c r="D313" t="s">
        <v>52</v>
      </c>
      <c r="E313" t="s">
        <v>60</v>
      </c>
      <c r="F313" s="2">
        <v>45967</v>
      </c>
      <c r="G313" s="2">
        <v>45969</v>
      </c>
      <c r="H313" t="s">
        <v>24</v>
      </c>
      <c r="I313" t="s">
        <v>42</v>
      </c>
      <c r="J313" s="2">
        <v>45971</v>
      </c>
      <c r="K313" s="2">
        <v>45973</v>
      </c>
      <c r="L313" t="s">
        <v>26</v>
      </c>
      <c r="M313" t="s">
        <v>32</v>
      </c>
      <c r="N313" t="s">
        <v>49</v>
      </c>
      <c r="O313" t="s">
        <v>28</v>
      </c>
      <c r="Q313">
        <f t="shared" si="16"/>
        <v>0</v>
      </c>
      <c r="R313" s="3">
        <f t="shared" si="17"/>
        <v>4</v>
      </c>
      <c r="S313">
        <f t="shared" si="18"/>
        <v>1</v>
      </c>
      <c r="T313">
        <f t="shared" si="19"/>
        <v>0</v>
      </c>
    </row>
    <row r="314" spans="1:20" x14ac:dyDescent="0.25">
      <c r="A314" t="s">
        <v>380</v>
      </c>
      <c r="B314">
        <v>313</v>
      </c>
      <c r="C314" t="s">
        <v>59</v>
      </c>
      <c r="D314" t="s">
        <v>64</v>
      </c>
      <c r="E314" t="s">
        <v>56</v>
      </c>
      <c r="F314" s="2">
        <v>45985</v>
      </c>
      <c r="G314" s="2">
        <v>45987</v>
      </c>
      <c r="H314" t="s">
        <v>24</v>
      </c>
      <c r="I314" t="s">
        <v>83</v>
      </c>
      <c r="J314" s="2">
        <v>45988</v>
      </c>
      <c r="K314" s="2">
        <v>45989</v>
      </c>
      <c r="L314" t="s">
        <v>26</v>
      </c>
      <c r="M314" t="s">
        <v>27</v>
      </c>
      <c r="O314" t="s">
        <v>28</v>
      </c>
      <c r="Q314">
        <f t="shared" si="16"/>
        <v>0</v>
      </c>
      <c r="R314" s="3">
        <f t="shared" si="17"/>
        <v>3</v>
      </c>
      <c r="S314">
        <f t="shared" si="18"/>
        <v>0</v>
      </c>
      <c r="T314">
        <f t="shared" si="19"/>
        <v>0</v>
      </c>
    </row>
    <row r="315" spans="1:20" x14ac:dyDescent="0.25">
      <c r="A315" t="s">
        <v>381</v>
      </c>
      <c r="B315">
        <v>314</v>
      </c>
      <c r="C315" t="s">
        <v>51</v>
      </c>
      <c r="D315" t="s">
        <v>30</v>
      </c>
      <c r="E315" t="s">
        <v>23</v>
      </c>
      <c r="F315" s="2">
        <v>45985</v>
      </c>
      <c r="G315" s="2">
        <v>45986</v>
      </c>
      <c r="H315" t="s">
        <v>24</v>
      </c>
      <c r="I315" t="s">
        <v>42</v>
      </c>
      <c r="J315" s="2">
        <v>45991</v>
      </c>
      <c r="K315" s="2">
        <v>45991</v>
      </c>
      <c r="L315" t="s">
        <v>26</v>
      </c>
      <c r="M315" t="s">
        <v>27</v>
      </c>
      <c r="O315" t="s">
        <v>34</v>
      </c>
      <c r="Q315">
        <f t="shared" si="16"/>
        <v>1</v>
      </c>
      <c r="R315" s="3">
        <f t="shared" si="17"/>
        <v>6</v>
      </c>
      <c r="S315">
        <f t="shared" si="18"/>
        <v>0</v>
      </c>
      <c r="T315">
        <f t="shared" si="19"/>
        <v>0</v>
      </c>
    </row>
    <row r="316" spans="1:20" x14ac:dyDescent="0.25">
      <c r="A316" t="s">
        <v>382</v>
      </c>
      <c r="B316">
        <v>315</v>
      </c>
      <c r="C316" t="s">
        <v>36</v>
      </c>
      <c r="D316" t="s">
        <v>39</v>
      </c>
      <c r="E316" t="s">
        <v>60</v>
      </c>
      <c r="F316" s="2">
        <v>45945</v>
      </c>
      <c r="G316" s="2">
        <v>45946</v>
      </c>
      <c r="H316" t="s">
        <v>45</v>
      </c>
      <c r="I316" t="s">
        <v>85</v>
      </c>
      <c r="J316" s="2">
        <v>45948</v>
      </c>
      <c r="K316" s="2">
        <v>45948</v>
      </c>
      <c r="L316" t="s">
        <v>26</v>
      </c>
      <c r="M316" t="s">
        <v>57</v>
      </c>
      <c r="O316" t="s">
        <v>81</v>
      </c>
      <c r="Q316">
        <f t="shared" si="16"/>
        <v>1</v>
      </c>
      <c r="R316" s="3">
        <f t="shared" si="17"/>
        <v>3</v>
      </c>
      <c r="S316">
        <f t="shared" si="18"/>
        <v>0</v>
      </c>
      <c r="T316">
        <f t="shared" si="19"/>
        <v>0</v>
      </c>
    </row>
    <row r="317" spans="1:20" x14ac:dyDescent="0.25">
      <c r="A317" t="s">
        <v>383</v>
      </c>
      <c r="B317">
        <v>316</v>
      </c>
      <c r="C317" t="s">
        <v>59</v>
      </c>
      <c r="D317" t="s">
        <v>39</v>
      </c>
      <c r="E317" t="s">
        <v>23</v>
      </c>
      <c r="F317" s="2">
        <v>45691</v>
      </c>
      <c r="G317" s="2">
        <v>45691</v>
      </c>
      <c r="H317" t="s">
        <v>61</v>
      </c>
      <c r="I317" t="s">
        <v>54</v>
      </c>
      <c r="J317" s="2">
        <v>45695</v>
      </c>
      <c r="K317" s="2">
        <v>45695</v>
      </c>
      <c r="L317" t="s">
        <v>26</v>
      </c>
      <c r="M317" t="s">
        <v>27</v>
      </c>
      <c r="O317" t="s">
        <v>28</v>
      </c>
      <c r="Q317">
        <f t="shared" si="16"/>
        <v>1</v>
      </c>
      <c r="R317" s="3">
        <f t="shared" si="17"/>
        <v>4</v>
      </c>
      <c r="S317">
        <f t="shared" si="18"/>
        <v>0</v>
      </c>
      <c r="T317">
        <f t="shared" si="19"/>
        <v>0</v>
      </c>
    </row>
    <row r="318" spans="1:20" x14ac:dyDescent="0.25">
      <c r="A318" t="s">
        <v>384</v>
      </c>
      <c r="B318">
        <v>317</v>
      </c>
      <c r="C318" t="s">
        <v>59</v>
      </c>
      <c r="D318" t="s">
        <v>39</v>
      </c>
      <c r="E318" t="s">
        <v>53</v>
      </c>
      <c r="F318" s="2">
        <v>45785</v>
      </c>
      <c r="G318" s="2">
        <v>45785</v>
      </c>
      <c r="H318" t="s">
        <v>24</v>
      </c>
      <c r="I318" t="s">
        <v>25</v>
      </c>
      <c r="J318" s="2">
        <v>45786</v>
      </c>
      <c r="K318" s="2">
        <v>45786</v>
      </c>
      <c r="L318" t="s">
        <v>26</v>
      </c>
      <c r="M318" t="s">
        <v>57</v>
      </c>
      <c r="O318" t="s">
        <v>37</v>
      </c>
      <c r="Q318">
        <f t="shared" si="16"/>
        <v>1</v>
      </c>
      <c r="R318" s="3">
        <f t="shared" si="17"/>
        <v>1</v>
      </c>
      <c r="S318">
        <f t="shared" si="18"/>
        <v>0</v>
      </c>
      <c r="T318">
        <f t="shared" si="19"/>
        <v>0</v>
      </c>
    </row>
    <row r="319" spans="1:20" x14ac:dyDescent="0.25">
      <c r="A319" t="s">
        <v>385</v>
      </c>
      <c r="B319">
        <v>318</v>
      </c>
      <c r="C319" t="s">
        <v>51</v>
      </c>
      <c r="D319" t="s">
        <v>22</v>
      </c>
      <c r="E319" t="s">
        <v>56</v>
      </c>
      <c r="F319" s="2">
        <v>45855</v>
      </c>
      <c r="G319" s="2">
        <v>45857</v>
      </c>
      <c r="H319" t="s">
        <v>45</v>
      </c>
      <c r="I319" t="s">
        <v>62</v>
      </c>
      <c r="J319" s="2">
        <v>45859</v>
      </c>
      <c r="K319" s="2">
        <v>45859</v>
      </c>
      <c r="L319" t="s">
        <v>46</v>
      </c>
      <c r="M319" t="s">
        <v>27</v>
      </c>
      <c r="O319" t="s">
        <v>37</v>
      </c>
      <c r="Q319">
        <f t="shared" si="16"/>
        <v>1</v>
      </c>
      <c r="R319" s="3">
        <f t="shared" si="17"/>
        <v>4</v>
      </c>
      <c r="S319">
        <f t="shared" si="18"/>
        <v>0</v>
      </c>
      <c r="T319">
        <f t="shared" si="19"/>
        <v>1</v>
      </c>
    </row>
    <row r="320" spans="1:20" x14ac:dyDescent="0.25">
      <c r="A320" t="s">
        <v>386</v>
      </c>
      <c r="B320">
        <v>319</v>
      </c>
      <c r="C320" t="s">
        <v>51</v>
      </c>
      <c r="D320" t="s">
        <v>64</v>
      </c>
      <c r="E320" t="s">
        <v>53</v>
      </c>
      <c r="F320" s="2">
        <v>45854</v>
      </c>
      <c r="G320" s="2">
        <v>45855</v>
      </c>
      <c r="H320" t="s">
        <v>61</v>
      </c>
      <c r="I320" t="s">
        <v>42</v>
      </c>
      <c r="J320" s="2">
        <v>45859</v>
      </c>
      <c r="K320" s="2">
        <v>45859</v>
      </c>
      <c r="L320" t="s">
        <v>26</v>
      </c>
      <c r="M320" t="s">
        <v>57</v>
      </c>
      <c r="O320" t="s">
        <v>28</v>
      </c>
      <c r="Q320">
        <f t="shared" si="16"/>
        <v>1</v>
      </c>
      <c r="R320" s="3">
        <f t="shared" si="17"/>
        <v>5</v>
      </c>
      <c r="S320">
        <f t="shared" si="18"/>
        <v>0</v>
      </c>
      <c r="T320">
        <f t="shared" si="19"/>
        <v>0</v>
      </c>
    </row>
    <row r="321" spans="1:20" x14ac:dyDescent="0.25">
      <c r="A321" t="s">
        <v>387</v>
      </c>
      <c r="B321">
        <v>320</v>
      </c>
      <c r="C321" t="s">
        <v>51</v>
      </c>
      <c r="D321" t="s">
        <v>64</v>
      </c>
      <c r="E321" t="s">
        <v>56</v>
      </c>
      <c r="F321" s="2">
        <v>45964</v>
      </c>
      <c r="G321" s="2">
        <v>45965</v>
      </c>
      <c r="H321" t="s">
        <v>41</v>
      </c>
      <c r="I321" t="s">
        <v>83</v>
      </c>
      <c r="J321" s="2">
        <v>45969</v>
      </c>
      <c r="K321" s="2">
        <v>45969</v>
      </c>
      <c r="L321" t="s">
        <v>26</v>
      </c>
      <c r="M321" t="s">
        <v>57</v>
      </c>
      <c r="O321" t="s">
        <v>28</v>
      </c>
      <c r="P321" t="s">
        <v>76</v>
      </c>
      <c r="Q321">
        <f t="shared" si="16"/>
        <v>1</v>
      </c>
      <c r="R321" s="3">
        <f t="shared" si="17"/>
        <v>5</v>
      </c>
      <c r="S321">
        <f t="shared" si="18"/>
        <v>0</v>
      </c>
      <c r="T321">
        <f t="shared" si="19"/>
        <v>0</v>
      </c>
    </row>
    <row r="322" spans="1:20" x14ac:dyDescent="0.25">
      <c r="A322" t="s">
        <v>388</v>
      </c>
      <c r="B322">
        <v>321</v>
      </c>
      <c r="C322" t="s">
        <v>59</v>
      </c>
      <c r="D322" t="s">
        <v>64</v>
      </c>
      <c r="E322" t="s">
        <v>56</v>
      </c>
      <c r="F322" s="2">
        <v>45750</v>
      </c>
      <c r="G322" s="2">
        <v>45752</v>
      </c>
      <c r="H322" t="s">
        <v>45</v>
      </c>
      <c r="I322" t="s">
        <v>83</v>
      </c>
      <c r="J322" s="2">
        <v>45754</v>
      </c>
      <c r="K322" s="2">
        <v>45754</v>
      </c>
      <c r="L322" t="s">
        <v>26</v>
      </c>
      <c r="M322" t="s">
        <v>27</v>
      </c>
      <c r="O322" t="s">
        <v>34</v>
      </c>
      <c r="Q322">
        <f t="shared" si="16"/>
        <v>1</v>
      </c>
      <c r="R322" s="3">
        <f t="shared" si="17"/>
        <v>4</v>
      </c>
      <c r="S322">
        <f t="shared" si="18"/>
        <v>0</v>
      </c>
      <c r="T322">
        <f t="shared" si="19"/>
        <v>0</v>
      </c>
    </row>
    <row r="323" spans="1:20" x14ac:dyDescent="0.25">
      <c r="A323" t="s">
        <v>389</v>
      </c>
      <c r="B323">
        <v>322</v>
      </c>
      <c r="C323" t="s">
        <v>36</v>
      </c>
      <c r="D323" t="s">
        <v>64</v>
      </c>
      <c r="E323" t="s">
        <v>23</v>
      </c>
      <c r="F323" s="2">
        <v>45904</v>
      </c>
      <c r="G323" s="2">
        <v>45904</v>
      </c>
      <c r="H323" t="s">
        <v>41</v>
      </c>
      <c r="I323" t="s">
        <v>73</v>
      </c>
      <c r="J323" s="2">
        <v>45908</v>
      </c>
      <c r="K323" s="2">
        <v>45911</v>
      </c>
      <c r="L323" t="s">
        <v>26</v>
      </c>
      <c r="M323" t="s">
        <v>32</v>
      </c>
      <c r="N323" t="s">
        <v>49</v>
      </c>
      <c r="O323" t="s">
        <v>43</v>
      </c>
      <c r="Q323">
        <f t="shared" ref="Q323:Q386" si="20">IF(K323&lt;=J323,1,0)</f>
        <v>0</v>
      </c>
      <c r="R323" s="3">
        <f t="shared" ref="R323:R386" si="21">(J323-F323)</f>
        <v>4</v>
      </c>
      <c r="S323">
        <f t="shared" ref="S323:S386" si="22">IF(M323="Delayed",1,0)</f>
        <v>1</v>
      </c>
      <c r="T323">
        <f t="shared" ref="T323:T386" si="23">IF(L323="n",1,0)</f>
        <v>0</v>
      </c>
    </row>
    <row r="324" spans="1:20" x14ac:dyDescent="0.25">
      <c r="A324" t="s">
        <v>390</v>
      </c>
      <c r="B324">
        <v>323</v>
      </c>
      <c r="C324" t="s">
        <v>51</v>
      </c>
      <c r="D324" t="s">
        <v>39</v>
      </c>
      <c r="E324" t="s">
        <v>56</v>
      </c>
      <c r="F324" s="2">
        <v>45824</v>
      </c>
      <c r="G324" s="2">
        <v>45825</v>
      </c>
      <c r="H324" t="s">
        <v>45</v>
      </c>
      <c r="I324" t="s">
        <v>25</v>
      </c>
      <c r="J324" s="2">
        <v>45826</v>
      </c>
      <c r="K324" s="2">
        <v>45826</v>
      </c>
      <c r="L324" t="s">
        <v>26</v>
      </c>
      <c r="M324" t="s">
        <v>57</v>
      </c>
      <c r="O324" t="s">
        <v>37</v>
      </c>
      <c r="Q324">
        <f t="shared" si="20"/>
        <v>1</v>
      </c>
      <c r="R324" s="3">
        <f t="shared" si="21"/>
        <v>2</v>
      </c>
      <c r="S324">
        <f t="shared" si="22"/>
        <v>0</v>
      </c>
      <c r="T324">
        <f t="shared" si="23"/>
        <v>0</v>
      </c>
    </row>
    <row r="325" spans="1:20" x14ac:dyDescent="0.25">
      <c r="A325" t="s">
        <v>391</v>
      </c>
      <c r="B325">
        <v>324</v>
      </c>
      <c r="C325" t="s">
        <v>78</v>
      </c>
      <c r="D325" t="s">
        <v>22</v>
      </c>
      <c r="E325" t="s">
        <v>23</v>
      </c>
      <c r="F325" s="2">
        <v>45974</v>
      </c>
      <c r="G325" s="2">
        <v>45975</v>
      </c>
      <c r="H325" t="s">
        <v>31</v>
      </c>
      <c r="I325" t="s">
        <v>54</v>
      </c>
      <c r="J325" s="2">
        <v>45978</v>
      </c>
      <c r="K325" s="2">
        <v>45980</v>
      </c>
      <c r="L325" t="s">
        <v>26</v>
      </c>
      <c r="M325" t="s">
        <v>32</v>
      </c>
      <c r="N325" t="s">
        <v>33</v>
      </c>
      <c r="O325" t="s">
        <v>37</v>
      </c>
      <c r="P325" t="s">
        <v>71</v>
      </c>
      <c r="Q325">
        <f t="shared" si="20"/>
        <v>0</v>
      </c>
      <c r="R325" s="3">
        <f t="shared" si="21"/>
        <v>4</v>
      </c>
      <c r="S325">
        <f t="shared" si="22"/>
        <v>1</v>
      </c>
      <c r="T325">
        <f t="shared" si="23"/>
        <v>0</v>
      </c>
    </row>
    <row r="326" spans="1:20" x14ac:dyDescent="0.25">
      <c r="A326" t="s">
        <v>392</v>
      </c>
      <c r="B326">
        <v>325</v>
      </c>
      <c r="C326" t="s">
        <v>51</v>
      </c>
      <c r="D326" t="s">
        <v>39</v>
      </c>
      <c r="E326" t="s">
        <v>23</v>
      </c>
      <c r="F326" s="2">
        <v>45726</v>
      </c>
      <c r="G326" s="2">
        <v>45728</v>
      </c>
      <c r="H326" t="s">
        <v>61</v>
      </c>
      <c r="I326" t="s">
        <v>83</v>
      </c>
      <c r="J326" s="2">
        <v>45730</v>
      </c>
      <c r="K326" s="2">
        <v>45731</v>
      </c>
      <c r="L326" t="s">
        <v>26</v>
      </c>
      <c r="M326" t="s">
        <v>27</v>
      </c>
      <c r="O326" t="s">
        <v>43</v>
      </c>
      <c r="P326" t="s">
        <v>93</v>
      </c>
      <c r="Q326">
        <f t="shared" si="20"/>
        <v>0</v>
      </c>
      <c r="R326" s="3">
        <f t="shared" si="21"/>
        <v>4</v>
      </c>
      <c r="S326">
        <f t="shared" si="22"/>
        <v>0</v>
      </c>
      <c r="T326">
        <f t="shared" si="23"/>
        <v>0</v>
      </c>
    </row>
    <row r="327" spans="1:20" x14ac:dyDescent="0.25">
      <c r="A327" t="s">
        <v>393</v>
      </c>
      <c r="B327">
        <v>326</v>
      </c>
      <c r="C327" t="s">
        <v>36</v>
      </c>
      <c r="D327" t="s">
        <v>22</v>
      </c>
      <c r="E327" t="s">
        <v>60</v>
      </c>
      <c r="F327" s="2">
        <v>45860</v>
      </c>
      <c r="G327" s="2">
        <v>45860</v>
      </c>
      <c r="H327" t="s">
        <v>24</v>
      </c>
      <c r="I327" t="s">
        <v>85</v>
      </c>
      <c r="J327" s="2">
        <v>45863</v>
      </c>
      <c r="K327" s="2">
        <v>45864</v>
      </c>
      <c r="L327" t="s">
        <v>26</v>
      </c>
      <c r="M327" t="s">
        <v>57</v>
      </c>
      <c r="O327" t="s">
        <v>34</v>
      </c>
      <c r="Q327">
        <f t="shared" si="20"/>
        <v>0</v>
      </c>
      <c r="R327" s="3">
        <f t="shared" si="21"/>
        <v>3</v>
      </c>
      <c r="S327">
        <f t="shared" si="22"/>
        <v>0</v>
      </c>
      <c r="T327">
        <f t="shared" si="23"/>
        <v>0</v>
      </c>
    </row>
    <row r="328" spans="1:20" x14ac:dyDescent="0.25">
      <c r="A328" t="s">
        <v>394</v>
      </c>
      <c r="B328">
        <v>327</v>
      </c>
      <c r="C328" t="s">
        <v>59</v>
      </c>
      <c r="D328" t="s">
        <v>30</v>
      </c>
      <c r="E328" t="s">
        <v>60</v>
      </c>
      <c r="F328" s="2">
        <v>45711</v>
      </c>
      <c r="G328" s="2">
        <v>45711</v>
      </c>
      <c r="H328" t="s">
        <v>31</v>
      </c>
      <c r="I328" t="s">
        <v>85</v>
      </c>
      <c r="J328" s="2">
        <v>45714</v>
      </c>
      <c r="K328" s="2">
        <v>45714</v>
      </c>
      <c r="L328" t="s">
        <v>26</v>
      </c>
      <c r="M328" t="s">
        <v>57</v>
      </c>
      <c r="O328" t="s">
        <v>43</v>
      </c>
      <c r="Q328">
        <f t="shared" si="20"/>
        <v>1</v>
      </c>
      <c r="R328" s="3">
        <f t="shared" si="21"/>
        <v>3</v>
      </c>
      <c r="S328">
        <f t="shared" si="22"/>
        <v>0</v>
      </c>
      <c r="T328">
        <f t="shared" si="23"/>
        <v>0</v>
      </c>
    </row>
    <row r="329" spans="1:20" x14ac:dyDescent="0.25">
      <c r="A329" t="s">
        <v>395</v>
      </c>
      <c r="B329">
        <v>328</v>
      </c>
      <c r="C329" t="s">
        <v>36</v>
      </c>
      <c r="D329" t="s">
        <v>64</v>
      </c>
      <c r="E329" t="s">
        <v>40</v>
      </c>
      <c r="F329" s="2">
        <v>45755</v>
      </c>
      <c r="G329" s="2">
        <v>45757</v>
      </c>
      <c r="H329" t="s">
        <v>61</v>
      </c>
      <c r="I329" t="s">
        <v>25</v>
      </c>
      <c r="J329" s="2">
        <v>45761</v>
      </c>
      <c r="K329" s="2">
        <v>45761</v>
      </c>
      <c r="L329" t="s">
        <v>26</v>
      </c>
      <c r="M329" t="s">
        <v>27</v>
      </c>
      <c r="O329" t="s">
        <v>43</v>
      </c>
      <c r="Q329">
        <f t="shared" si="20"/>
        <v>1</v>
      </c>
      <c r="R329" s="3">
        <f t="shared" si="21"/>
        <v>6</v>
      </c>
      <c r="S329">
        <f t="shared" si="22"/>
        <v>0</v>
      </c>
      <c r="T329">
        <f t="shared" si="23"/>
        <v>0</v>
      </c>
    </row>
    <row r="330" spans="1:20" x14ac:dyDescent="0.25">
      <c r="A330" t="s">
        <v>396</v>
      </c>
      <c r="B330">
        <v>329</v>
      </c>
      <c r="C330" t="s">
        <v>59</v>
      </c>
      <c r="D330" t="s">
        <v>52</v>
      </c>
      <c r="E330" t="s">
        <v>60</v>
      </c>
      <c r="F330" s="2">
        <v>46018</v>
      </c>
      <c r="G330" s="2">
        <v>46019</v>
      </c>
      <c r="H330" t="s">
        <v>24</v>
      </c>
      <c r="I330" t="s">
        <v>73</v>
      </c>
      <c r="J330" s="2">
        <v>46025</v>
      </c>
      <c r="K330" s="2">
        <v>46029</v>
      </c>
      <c r="L330" t="s">
        <v>46</v>
      </c>
      <c r="M330" t="s">
        <v>32</v>
      </c>
      <c r="N330" t="s">
        <v>264</v>
      </c>
      <c r="O330" t="s">
        <v>34</v>
      </c>
      <c r="P330" t="s">
        <v>76</v>
      </c>
      <c r="Q330">
        <f t="shared" si="20"/>
        <v>0</v>
      </c>
      <c r="R330" s="3">
        <f t="shared" si="21"/>
        <v>7</v>
      </c>
      <c r="S330">
        <f t="shared" si="22"/>
        <v>1</v>
      </c>
      <c r="T330">
        <f t="shared" si="23"/>
        <v>1</v>
      </c>
    </row>
    <row r="331" spans="1:20" x14ac:dyDescent="0.25">
      <c r="A331" t="s">
        <v>397</v>
      </c>
      <c r="B331">
        <v>330</v>
      </c>
      <c r="C331" t="s">
        <v>21</v>
      </c>
      <c r="D331" t="s">
        <v>22</v>
      </c>
      <c r="E331" t="s">
        <v>56</v>
      </c>
      <c r="F331" s="2">
        <v>45787</v>
      </c>
      <c r="G331" s="2">
        <v>45787</v>
      </c>
      <c r="H331" t="s">
        <v>24</v>
      </c>
      <c r="I331" t="s">
        <v>85</v>
      </c>
      <c r="J331" s="2">
        <v>45792</v>
      </c>
      <c r="K331" s="2">
        <v>45792</v>
      </c>
      <c r="L331" t="s">
        <v>26</v>
      </c>
      <c r="M331" t="s">
        <v>27</v>
      </c>
      <c r="O331" t="s">
        <v>37</v>
      </c>
      <c r="Q331">
        <f t="shared" si="20"/>
        <v>1</v>
      </c>
      <c r="R331" s="3">
        <f t="shared" si="21"/>
        <v>5</v>
      </c>
      <c r="S331">
        <f t="shared" si="22"/>
        <v>0</v>
      </c>
      <c r="T331">
        <f t="shared" si="23"/>
        <v>0</v>
      </c>
    </row>
    <row r="332" spans="1:20" x14ac:dyDescent="0.25">
      <c r="A332" t="s">
        <v>398</v>
      </c>
      <c r="B332">
        <v>331</v>
      </c>
      <c r="C332" t="s">
        <v>59</v>
      </c>
      <c r="D332" t="s">
        <v>22</v>
      </c>
      <c r="E332" t="s">
        <v>40</v>
      </c>
      <c r="F332" s="2">
        <v>46013</v>
      </c>
      <c r="G332" s="2">
        <v>46014</v>
      </c>
      <c r="H332" t="s">
        <v>24</v>
      </c>
      <c r="I332" t="s">
        <v>25</v>
      </c>
      <c r="J332" s="2">
        <v>46015</v>
      </c>
      <c r="K332" s="2">
        <v>46018</v>
      </c>
      <c r="L332" t="s">
        <v>26</v>
      </c>
      <c r="M332" t="s">
        <v>32</v>
      </c>
      <c r="N332" t="s">
        <v>47</v>
      </c>
      <c r="O332" t="s">
        <v>34</v>
      </c>
      <c r="P332" t="s">
        <v>88</v>
      </c>
      <c r="Q332">
        <f t="shared" si="20"/>
        <v>0</v>
      </c>
      <c r="R332" s="3">
        <f t="shared" si="21"/>
        <v>2</v>
      </c>
      <c r="S332">
        <f t="shared" si="22"/>
        <v>1</v>
      </c>
      <c r="T332">
        <f t="shared" si="23"/>
        <v>0</v>
      </c>
    </row>
    <row r="333" spans="1:20" x14ac:dyDescent="0.25">
      <c r="A333" t="s">
        <v>399</v>
      </c>
      <c r="B333">
        <v>332</v>
      </c>
      <c r="C333" t="s">
        <v>59</v>
      </c>
      <c r="D333" t="s">
        <v>64</v>
      </c>
      <c r="E333" t="s">
        <v>60</v>
      </c>
      <c r="F333" s="2">
        <v>45891</v>
      </c>
      <c r="G333" s="2">
        <v>45891</v>
      </c>
      <c r="H333" t="s">
        <v>24</v>
      </c>
      <c r="I333" t="s">
        <v>85</v>
      </c>
      <c r="J333" s="2">
        <v>45897</v>
      </c>
      <c r="K333" s="2">
        <v>45897</v>
      </c>
      <c r="L333" t="s">
        <v>26</v>
      </c>
      <c r="M333" t="s">
        <v>57</v>
      </c>
      <c r="O333" t="s">
        <v>28</v>
      </c>
      <c r="Q333">
        <f t="shared" si="20"/>
        <v>1</v>
      </c>
      <c r="R333" s="3">
        <f t="shared" si="21"/>
        <v>6</v>
      </c>
      <c r="S333">
        <f t="shared" si="22"/>
        <v>0</v>
      </c>
      <c r="T333">
        <f t="shared" si="23"/>
        <v>0</v>
      </c>
    </row>
    <row r="334" spans="1:20" x14ac:dyDescent="0.25">
      <c r="A334" t="s">
        <v>400</v>
      </c>
      <c r="B334">
        <v>333</v>
      </c>
      <c r="C334" t="s">
        <v>59</v>
      </c>
      <c r="D334" t="s">
        <v>30</v>
      </c>
      <c r="E334" t="s">
        <v>60</v>
      </c>
      <c r="F334" s="2">
        <v>45663</v>
      </c>
      <c r="G334" s="2">
        <v>45664</v>
      </c>
      <c r="H334" t="s">
        <v>31</v>
      </c>
      <c r="I334" t="s">
        <v>54</v>
      </c>
      <c r="J334" s="2">
        <v>45665</v>
      </c>
      <c r="K334" s="2">
        <v>45665</v>
      </c>
      <c r="L334" t="s">
        <v>26</v>
      </c>
      <c r="M334" t="s">
        <v>27</v>
      </c>
      <c r="O334" t="s">
        <v>34</v>
      </c>
      <c r="Q334">
        <f t="shared" si="20"/>
        <v>1</v>
      </c>
      <c r="R334" s="3">
        <f t="shared" si="21"/>
        <v>2</v>
      </c>
      <c r="S334">
        <f t="shared" si="22"/>
        <v>0</v>
      </c>
      <c r="T334">
        <f t="shared" si="23"/>
        <v>0</v>
      </c>
    </row>
    <row r="335" spans="1:20" x14ac:dyDescent="0.25">
      <c r="A335" t="s">
        <v>401</v>
      </c>
      <c r="B335">
        <v>334</v>
      </c>
      <c r="C335" t="s">
        <v>78</v>
      </c>
      <c r="D335" t="s">
        <v>30</v>
      </c>
      <c r="E335" t="s">
        <v>23</v>
      </c>
      <c r="F335" s="2">
        <v>45977</v>
      </c>
      <c r="G335" s="2">
        <v>45978</v>
      </c>
      <c r="H335" t="s">
        <v>45</v>
      </c>
      <c r="I335" t="s">
        <v>25</v>
      </c>
      <c r="J335" s="2">
        <v>45980</v>
      </c>
      <c r="K335" s="2">
        <v>45980</v>
      </c>
      <c r="L335" t="s">
        <v>26</v>
      </c>
      <c r="M335" t="s">
        <v>57</v>
      </c>
      <c r="O335" t="s">
        <v>81</v>
      </c>
      <c r="Q335">
        <f t="shared" si="20"/>
        <v>1</v>
      </c>
      <c r="R335" s="3">
        <f t="shared" si="21"/>
        <v>3</v>
      </c>
      <c r="S335">
        <f t="shared" si="22"/>
        <v>0</v>
      </c>
      <c r="T335">
        <f t="shared" si="23"/>
        <v>0</v>
      </c>
    </row>
    <row r="336" spans="1:20" x14ac:dyDescent="0.25">
      <c r="A336" t="s">
        <v>402</v>
      </c>
      <c r="B336">
        <v>335</v>
      </c>
      <c r="C336" t="s">
        <v>36</v>
      </c>
      <c r="D336" t="s">
        <v>39</v>
      </c>
      <c r="E336" t="s">
        <v>60</v>
      </c>
      <c r="F336" s="2">
        <v>45668</v>
      </c>
      <c r="G336" s="2">
        <v>45670</v>
      </c>
      <c r="H336" t="s">
        <v>41</v>
      </c>
      <c r="I336" t="s">
        <v>73</v>
      </c>
      <c r="J336" s="2">
        <v>45673</v>
      </c>
      <c r="K336" s="2">
        <v>45673</v>
      </c>
      <c r="L336" t="s">
        <v>26</v>
      </c>
      <c r="M336" t="s">
        <v>27</v>
      </c>
      <c r="O336" t="s">
        <v>28</v>
      </c>
      <c r="Q336">
        <f t="shared" si="20"/>
        <v>1</v>
      </c>
      <c r="R336" s="3">
        <f t="shared" si="21"/>
        <v>5</v>
      </c>
      <c r="S336">
        <f t="shared" si="22"/>
        <v>0</v>
      </c>
      <c r="T336">
        <f t="shared" si="23"/>
        <v>0</v>
      </c>
    </row>
    <row r="337" spans="1:20" x14ac:dyDescent="0.25">
      <c r="A337" t="s">
        <v>403</v>
      </c>
      <c r="B337">
        <v>336</v>
      </c>
      <c r="C337" t="s">
        <v>21</v>
      </c>
      <c r="D337" t="s">
        <v>22</v>
      </c>
      <c r="E337" t="s">
        <v>53</v>
      </c>
      <c r="F337" s="2">
        <v>45971</v>
      </c>
      <c r="G337" s="2">
        <v>45973</v>
      </c>
      <c r="H337" t="s">
        <v>24</v>
      </c>
      <c r="I337" t="s">
        <v>73</v>
      </c>
      <c r="J337" s="2">
        <v>45979</v>
      </c>
      <c r="K337" s="2">
        <v>45979</v>
      </c>
      <c r="L337" t="s">
        <v>46</v>
      </c>
      <c r="M337" t="s">
        <v>27</v>
      </c>
      <c r="O337" t="s">
        <v>43</v>
      </c>
      <c r="P337" t="s">
        <v>76</v>
      </c>
      <c r="Q337">
        <f t="shared" si="20"/>
        <v>1</v>
      </c>
      <c r="R337" s="3">
        <f t="shared" si="21"/>
        <v>8</v>
      </c>
      <c r="S337">
        <f t="shared" si="22"/>
        <v>0</v>
      </c>
      <c r="T337">
        <f t="shared" si="23"/>
        <v>1</v>
      </c>
    </row>
    <row r="338" spans="1:20" x14ac:dyDescent="0.25">
      <c r="A338" t="s">
        <v>404</v>
      </c>
      <c r="B338">
        <v>337</v>
      </c>
      <c r="C338" t="s">
        <v>51</v>
      </c>
      <c r="D338" t="s">
        <v>64</v>
      </c>
      <c r="E338" t="s">
        <v>23</v>
      </c>
      <c r="F338" s="2">
        <v>45664</v>
      </c>
      <c r="G338" s="2">
        <v>45664</v>
      </c>
      <c r="H338" t="s">
        <v>45</v>
      </c>
      <c r="I338" t="s">
        <v>85</v>
      </c>
      <c r="J338" s="2">
        <v>45670</v>
      </c>
      <c r="K338" s="2">
        <v>45670</v>
      </c>
      <c r="L338" t="s">
        <v>26</v>
      </c>
      <c r="M338" t="s">
        <v>27</v>
      </c>
      <c r="O338" t="s">
        <v>28</v>
      </c>
      <c r="Q338">
        <f t="shared" si="20"/>
        <v>1</v>
      </c>
      <c r="R338" s="3">
        <f t="shared" si="21"/>
        <v>6</v>
      </c>
      <c r="S338">
        <f t="shared" si="22"/>
        <v>0</v>
      </c>
      <c r="T338">
        <f t="shared" si="23"/>
        <v>0</v>
      </c>
    </row>
    <row r="339" spans="1:20" x14ac:dyDescent="0.25">
      <c r="A339" t="s">
        <v>405</v>
      </c>
      <c r="B339">
        <v>338</v>
      </c>
      <c r="C339" t="s">
        <v>21</v>
      </c>
      <c r="D339" t="s">
        <v>39</v>
      </c>
      <c r="E339" t="s">
        <v>23</v>
      </c>
      <c r="F339" s="2">
        <v>45909</v>
      </c>
      <c r="G339" s="2">
        <v>45911</v>
      </c>
      <c r="H339" t="s">
        <v>45</v>
      </c>
      <c r="I339" t="s">
        <v>83</v>
      </c>
      <c r="J339" s="2">
        <v>45913</v>
      </c>
      <c r="K339" s="2">
        <v>45914</v>
      </c>
      <c r="L339" t="s">
        <v>26</v>
      </c>
      <c r="M339" t="s">
        <v>57</v>
      </c>
      <c r="O339" t="s">
        <v>81</v>
      </c>
      <c r="Q339">
        <f t="shared" si="20"/>
        <v>0</v>
      </c>
      <c r="R339" s="3">
        <f t="shared" si="21"/>
        <v>4</v>
      </c>
      <c r="S339">
        <f t="shared" si="22"/>
        <v>0</v>
      </c>
      <c r="T339">
        <f t="shared" si="23"/>
        <v>0</v>
      </c>
    </row>
    <row r="340" spans="1:20" x14ac:dyDescent="0.25">
      <c r="A340" t="s">
        <v>406</v>
      </c>
      <c r="B340">
        <v>339</v>
      </c>
      <c r="C340" t="s">
        <v>59</v>
      </c>
      <c r="D340" t="s">
        <v>39</v>
      </c>
      <c r="E340" t="s">
        <v>53</v>
      </c>
      <c r="F340" s="2">
        <v>45740</v>
      </c>
      <c r="G340" s="2">
        <v>45741</v>
      </c>
      <c r="H340" t="s">
        <v>61</v>
      </c>
      <c r="I340" t="s">
        <v>42</v>
      </c>
      <c r="J340" s="2">
        <v>45742</v>
      </c>
      <c r="K340" s="2">
        <v>45743</v>
      </c>
      <c r="L340" t="s">
        <v>26</v>
      </c>
      <c r="M340" t="s">
        <v>32</v>
      </c>
      <c r="N340" t="s">
        <v>49</v>
      </c>
      <c r="O340" t="s">
        <v>28</v>
      </c>
      <c r="P340" t="s">
        <v>88</v>
      </c>
      <c r="Q340">
        <f t="shared" si="20"/>
        <v>0</v>
      </c>
      <c r="R340" s="3">
        <f t="shared" si="21"/>
        <v>2</v>
      </c>
      <c r="S340">
        <f t="shared" si="22"/>
        <v>1</v>
      </c>
      <c r="T340">
        <f t="shared" si="23"/>
        <v>0</v>
      </c>
    </row>
    <row r="341" spans="1:20" x14ac:dyDescent="0.25">
      <c r="A341" t="s">
        <v>407</v>
      </c>
      <c r="B341">
        <v>340</v>
      </c>
      <c r="C341" t="s">
        <v>21</v>
      </c>
      <c r="D341" t="s">
        <v>22</v>
      </c>
      <c r="E341" t="s">
        <v>23</v>
      </c>
      <c r="F341" s="2">
        <v>45788</v>
      </c>
      <c r="G341" s="2">
        <v>45790</v>
      </c>
      <c r="H341" t="s">
        <v>61</v>
      </c>
      <c r="I341" t="s">
        <v>85</v>
      </c>
      <c r="J341" s="2">
        <v>45792</v>
      </c>
      <c r="K341" s="2">
        <v>45792</v>
      </c>
      <c r="L341" t="s">
        <v>26</v>
      </c>
      <c r="M341" t="s">
        <v>57</v>
      </c>
      <c r="O341" t="s">
        <v>37</v>
      </c>
      <c r="P341" t="s">
        <v>93</v>
      </c>
      <c r="Q341">
        <f t="shared" si="20"/>
        <v>1</v>
      </c>
      <c r="R341" s="3">
        <f t="shared" si="21"/>
        <v>4</v>
      </c>
      <c r="S341">
        <f t="shared" si="22"/>
        <v>0</v>
      </c>
      <c r="T341">
        <f t="shared" si="23"/>
        <v>0</v>
      </c>
    </row>
    <row r="342" spans="1:20" x14ac:dyDescent="0.25">
      <c r="A342" t="s">
        <v>408</v>
      </c>
      <c r="B342">
        <v>341</v>
      </c>
      <c r="C342" t="s">
        <v>78</v>
      </c>
      <c r="D342" t="s">
        <v>30</v>
      </c>
      <c r="E342" t="s">
        <v>60</v>
      </c>
      <c r="F342" s="2">
        <v>45995</v>
      </c>
      <c r="G342" s="2">
        <v>45995</v>
      </c>
      <c r="H342" t="s">
        <v>31</v>
      </c>
      <c r="I342" t="s">
        <v>83</v>
      </c>
      <c r="J342" s="2">
        <v>46000</v>
      </c>
      <c r="K342" s="2">
        <v>46000</v>
      </c>
      <c r="L342" t="s">
        <v>26</v>
      </c>
      <c r="M342" t="s">
        <v>57</v>
      </c>
      <c r="O342" t="s">
        <v>37</v>
      </c>
      <c r="Q342">
        <f t="shared" si="20"/>
        <v>1</v>
      </c>
      <c r="R342" s="3">
        <f t="shared" si="21"/>
        <v>5</v>
      </c>
      <c r="S342">
        <f t="shared" si="22"/>
        <v>0</v>
      </c>
      <c r="T342">
        <f t="shared" si="23"/>
        <v>0</v>
      </c>
    </row>
    <row r="343" spans="1:20" x14ac:dyDescent="0.25">
      <c r="A343" t="s">
        <v>409</v>
      </c>
      <c r="B343">
        <v>342</v>
      </c>
      <c r="C343" t="s">
        <v>36</v>
      </c>
      <c r="D343" t="s">
        <v>64</v>
      </c>
      <c r="E343" t="s">
        <v>40</v>
      </c>
      <c r="F343" s="2">
        <v>45842</v>
      </c>
      <c r="G343" s="2">
        <v>45844</v>
      </c>
      <c r="H343" t="s">
        <v>31</v>
      </c>
      <c r="I343" t="s">
        <v>42</v>
      </c>
      <c r="J343" s="2">
        <v>45847</v>
      </c>
      <c r="K343" s="2">
        <v>45849</v>
      </c>
      <c r="L343" t="s">
        <v>26</v>
      </c>
      <c r="M343" t="s">
        <v>32</v>
      </c>
      <c r="N343" t="s">
        <v>33</v>
      </c>
      <c r="O343" t="s">
        <v>37</v>
      </c>
      <c r="Q343">
        <f t="shared" si="20"/>
        <v>0</v>
      </c>
      <c r="R343" s="3">
        <f t="shared" si="21"/>
        <v>5</v>
      </c>
      <c r="S343">
        <f t="shared" si="22"/>
        <v>1</v>
      </c>
      <c r="T343">
        <f t="shared" si="23"/>
        <v>0</v>
      </c>
    </row>
    <row r="344" spans="1:20" x14ac:dyDescent="0.25">
      <c r="A344" t="s">
        <v>410</v>
      </c>
      <c r="B344">
        <v>343</v>
      </c>
      <c r="C344" t="s">
        <v>51</v>
      </c>
      <c r="D344" t="s">
        <v>39</v>
      </c>
      <c r="E344" t="s">
        <v>53</v>
      </c>
      <c r="F344" s="2">
        <v>45921</v>
      </c>
      <c r="G344" s="2">
        <v>45923</v>
      </c>
      <c r="H344" t="s">
        <v>24</v>
      </c>
      <c r="I344" t="s">
        <v>62</v>
      </c>
      <c r="J344" s="2">
        <v>45926</v>
      </c>
      <c r="K344" s="2">
        <v>45930</v>
      </c>
      <c r="L344" t="s">
        <v>46</v>
      </c>
      <c r="M344" t="s">
        <v>32</v>
      </c>
      <c r="N344" t="s">
        <v>49</v>
      </c>
      <c r="O344" t="s">
        <v>81</v>
      </c>
      <c r="Q344">
        <f t="shared" si="20"/>
        <v>0</v>
      </c>
      <c r="R344" s="3">
        <f t="shared" si="21"/>
        <v>5</v>
      </c>
      <c r="S344">
        <f t="shared" si="22"/>
        <v>1</v>
      </c>
      <c r="T344">
        <f t="shared" si="23"/>
        <v>1</v>
      </c>
    </row>
    <row r="345" spans="1:20" x14ac:dyDescent="0.25">
      <c r="A345" t="s">
        <v>411</v>
      </c>
      <c r="B345">
        <v>344</v>
      </c>
      <c r="C345" t="s">
        <v>21</v>
      </c>
      <c r="D345" t="s">
        <v>39</v>
      </c>
      <c r="E345" t="s">
        <v>53</v>
      </c>
      <c r="F345" s="2">
        <v>45953</v>
      </c>
      <c r="G345" s="2">
        <v>45954</v>
      </c>
      <c r="H345" t="s">
        <v>45</v>
      </c>
      <c r="I345" t="s">
        <v>42</v>
      </c>
      <c r="J345" s="2">
        <v>45957</v>
      </c>
      <c r="K345" s="2">
        <v>45957</v>
      </c>
      <c r="L345" t="s">
        <v>46</v>
      </c>
      <c r="M345" t="s">
        <v>27</v>
      </c>
      <c r="O345" t="s">
        <v>28</v>
      </c>
      <c r="P345" t="s">
        <v>93</v>
      </c>
      <c r="Q345">
        <f t="shared" si="20"/>
        <v>1</v>
      </c>
      <c r="R345" s="3">
        <f t="shared" si="21"/>
        <v>4</v>
      </c>
      <c r="S345">
        <f t="shared" si="22"/>
        <v>0</v>
      </c>
      <c r="T345">
        <f t="shared" si="23"/>
        <v>1</v>
      </c>
    </row>
    <row r="346" spans="1:20" x14ac:dyDescent="0.25">
      <c r="A346" t="s">
        <v>412</v>
      </c>
      <c r="B346">
        <v>345</v>
      </c>
      <c r="C346" t="s">
        <v>51</v>
      </c>
      <c r="D346" t="s">
        <v>52</v>
      </c>
      <c r="E346" t="s">
        <v>53</v>
      </c>
      <c r="F346" s="2">
        <v>45689</v>
      </c>
      <c r="G346" s="2">
        <v>45689</v>
      </c>
      <c r="H346" t="s">
        <v>45</v>
      </c>
      <c r="I346" t="s">
        <v>83</v>
      </c>
      <c r="J346" s="2">
        <v>45692</v>
      </c>
      <c r="K346" s="2">
        <v>45696</v>
      </c>
      <c r="L346" t="s">
        <v>26</v>
      </c>
      <c r="M346" t="s">
        <v>32</v>
      </c>
      <c r="N346" t="s">
        <v>75</v>
      </c>
      <c r="O346" t="s">
        <v>37</v>
      </c>
      <c r="Q346">
        <f t="shared" si="20"/>
        <v>0</v>
      </c>
      <c r="R346" s="3">
        <f t="shared" si="21"/>
        <v>3</v>
      </c>
      <c r="S346">
        <f t="shared" si="22"/>
        <v>1</v>
      </c>
      <c r="T346">
        <f t="shared" si="23"/>
        <v>0</v>
      </c>
    </row>
    <row r="347" spans="1:20" x14ac:dyDescent="0.25">
      <c r="A347" t="s">
        <v>413</v>
      </c>
      <c r="B347">
        <v>346</v>
      </c>
      <c r="C347" t="s">
        <v>21</v>
      </c>
      <c r="D347" t="s">
        <v>22</v>
      </c>
      <c r="E347" t="s">
        <v>53</v>
      </c>
      <c r="F347" s="2">
        <v>45983</v>
      </c>
      <c r="G347" s="2">
        <v>45985</v>
      </c>
      <c r="H347" t="s">
        <v>31</v>
      </c>
      <c r="I347" t="s">
        <v>54</v>
      </c>
      <c r="J347" s="2">
        <v>45988</v>
      </c>
      <c r="K347" s="2">
        <v>45988</v>
      </c>
      <c r="L347" t="s">
        <v>26</v>
      </c>
      <c r="M347" t="s">
        <v>27</v>
      </c>
      <c r="O347" t="s">
        <v>37</v>
      </c>
      <c r="Q347">
        <f t="shared" si="20"/>
        <v>1</v>
      </c>
      <c r="R347" s="3">
        <f t="shared" si="21"/>
        <v>5</v>
      </c>
      <c r="S347">
        <f t="shared" si="22"/>
        <v>0</v>
      </c>
      <c r="T347">
        <f t="shared" si="23"/>
        <v>0</v>
      </c>
    </row>
    <row r="348" spans="1:20" x14ac:dyDescent="0.25">
      <c r="A348" t="s">
        <v>414</v>
      </c>
      <c r="B348">
        <v>347</v>
      </c>
      <c r="C348" t="s">
        <v>51</v>
      </c>
      <c r="D348" t="s">
        <v>30</v>
      </c>
      <c r="E348" t="s">
        <v>40</v>
      </c>
      <c r="F348" s="2">
        <v>46000</v>
      </c>
      <c r="G348" s="2">
        <v>46000</v>
      </c>
      <c r="H348" t="s">
        <v>45</v>
      </c>
      <c r="I348" t="s">
        <v>42</v>
      </c>
      <c r="J348" s="2">
        <v>46002</v>
      </c>
      <c r="K348" s="2">
        <v>46005</v>
      </c>
      <c r="L348" t="s">
        <v>26</v>
      </c>
      <c r="M348" t="s">
        <v>32</v>
      </c>
      <c r="N348" t="s">
        <v>75</v>
      </c>
      <c r="O348" t="s">
        <v>37</v>
      </c>
      <c r="Q348">
        <f t="shared" si="20"/>
        <v>0</v>
      </c>
      <c r="R348" s="3">
        <f t="shared" si="21"/>
        <v>2</v>
      </c>
      <c r="S348">
        <f t="shared" si="22"/>
        <v>1</v>
      </c>
      <c r="T348">
        <f t="shared" si="23"/>
        <v>0</v>
      </c>
    </row>
    <row r="349" spans="1:20" x14ac:dyDescent="0.25">
      <c r="A349" t="s">
        <v>415</v>
      </c>
      <c r="B349">
        <v>348</v>
      </c>
      <c r="C349" t="s">
        <v>78</v>
      </c>
      <c r="D349" t="s">
        <v>64</v>
      </c>
      <c r="E349" t="s">
        <v>60</v>
      </c>
      <c r="F349" s="2">
        <v>45739</v>
      </c>
      <c r="G349" s="2">
        <v>45739</v>
      </c>
      <c r="H349" t="s">
        <v>31</v>
      </c>
      <c r="I349" t="s">
        <v>83</v>
      </c>
      <c r="J349" s="2">
        <v>45741</v>
      </c>
      <c r="K349" s="2">
        <v>45743</v>
      </c>
      <c r="L349" t="s">
        <v>26</v>
      </c>
      <c r="M349" t="s">
        <v>32</v>
      </c>
      <c r="N349" t="s">
        <v>67</v>
      </c>
      <c r="O349" t="s">
        <v>37</v>
      </c>
      <c r="Q349">
        <f t="shared" si="20"/>
        <v>0</v>
      </c>
      <c r="R349" s="3">
        <f t="shared" si="21"/>
        <v>2</v>
      </c>
      <c r="S349">
        <f t="shared" si="22"/>
        <v>1</v>
      </c>
      <c r="T349">
        <f t="shared" si="23"/>
        <v>0</v>
      </c>
    </row>
    <row r="350" spans="1:20" x14ac:dyDescent="0.25">
      <c r="A350" t="s">
        <v>416</v>
      </c>
      <c r="B350">
        <v>349</v>
      </c>
      <c r="C350" t="s">
        <v>21</v>
      </c>
      <c r="D350" t="s">
        <v>64</v>
      </c>
      <c r="E350" t="s">
        <v>56</v>
      </c>
      <c r="F350" s="2">
        <v>45894</v>
      </c>
      <c r="G350" s="2">
        <v>45895</v>
      </c>
      <c r="H350" t="s">
        <v>31</v>
      </c>
      <c r="I350" t="s">
        <v>83</v>
      </c>
      <c r="J350" s="2">
        <v>45897</v>
      </c>
      <c r="K350" s="2">
        <v>45897</v>
      </c>
      <c r="L350" t="s">
        <v>46</v>
      </c>
      <c r="M350" t="s">
        <v>57</v>
      </c>
      <c r="O350" t="s">
        <v>28</v>
      </c>
      <c r="Q350">
        <f t="shared" si="20"/>
        <v>1</v>
      </c>
      <c r="R350" s="3">
        <f t="shared" si="21"/>
        <v>3</v>
      </c>
      <c r="S350">
        <f t="shared" si="22"/>
        <v>0</v>
      </c>
      <c r="T350">
        <f t="shared" si="23"/>
        <v>1</v>
      </c>
    </row>
    <row r="351" spans="1:20" x14ac:dyDescent="0.25">
      <c r="A351" t="s">
        <v>417</v>
      </c>
      <c r="B351">
        <v>350</v>
      </c>
      <c r="C351" t="s">
        <v>59</v>
      </c>
      <c r="D351" t="s">
        <v>52</v>
      </c>
      <c r="E351" t="s">
        <v>56</v>
      </c>
      <c r="F351" s="2">
        <v>45787</v>
      </c>
      <c r="G351" s="2">
        <v>45788</v>
      </c>
      <c r="H351" t="s">
        <v>45</v>
      </c>
      <c r="I351" t="s">
        <v>85</v>
      </c>
      <c r="J351" s="2">
        <v>45790</v>
      </c>
      <c r="K351" s="2">
        <v>45791</v>
      </c>
      <c r="L351" t="s">
        <v>26</v>
      </c>
      <c r="M351" t="s">
        <v>27</v>
      </c>
      <c r="O351" t="s">
        <v>69</v>
      </c>
      <c r="P351" t="s">
        <v>71</v>
      </c>
      <c r="Q351">
        <f t="shared" si="20"/>
        <v>0</v>
      </c>
      <c r="R351" s="3">
        <f t="shared" si="21"/>
        <v>3</v>
      </c>
      <c r="S351">
        <f t="shared" si="22"/>
        <v>0</v>
      </c>
      <c r="T351">
        <f t="shared" si="23"/>
        <v>0</v>
      </c>
    </row>
    <row r="352" spans="1:20" x14ac:dyDescent="0.25">
      <c r="A352" t="s">
        <v>418</v>
      </c>
      <c r="B352">
        <v>351</v>
      </c>
      <c r="C352" t="s">
        <v>36</v>
      </c>
      <c r="D352" t="s">
        <v>52</v>
      </c>
      <c r="E352" t="s">
        <v>56</v>
      </c>
      <c r="F352" s="2">
        <v>45958</v>
      </c>
      <c r="G352" s="2">
        <v>45960</v>
      </c>
      <c r="H352" t="s">
        <v>45</v>
      </c>
      <c r="I352" t="s">
        <v>85</v>
      </c>
      <c r="J352" s="2">
        <v>45962</v>
      </c>
      <c r="K352" s="2">
        <v>45963</v>
      </c>
      <c r="L352" t="s">
        <v>26</v>
      </c>
      <c r="M352" t="s">
        <v>57</v>
      </c>
      <c r="O352" t="s">
        <v>28</v>
      </c>
      <c r="Q352">
        <f t="shared" si="20"/>
        <v>0</v>
      </c>
      <c r="R352" s="3">
        <f t="shared" si="21"/>
        <v>4</v>
      </c>
      <c r="S352">
        <f t="shared" si="22"/>
        <v>0</v>
      </c>
      <c r="T352">
        <f t="shared" si="23"/>
        <v>0</v>
      </c>
    </row>
    <row r="353" spans="1:20" x14ac:dyDescent="0.25">
      <c r="A353" t="s">
        <v>419</v>
      </c>
      <c r="B353">
        <v>352</v>
      </c>
      <c r="C353" t="s">
        <v>78</v>
      </c>
      <c r="D353" t="s">
        <v>52</v>
      </c>
      <c r="E353" t="s">
        <v>53</v>
      </c>
      <c r="F353" s="2">
        <v>45659</v>
      </c>
      <c r="G353" s="2">
        <v>45660</v>
      </c>
      <c r="H353" t="s">
        <v>24</v>
      </c>
      <c r="I353" t="s">
        <v>25</v>
      </c>
      <c r="J353" s="2">
        <v>45663</v>
      </c>
      <c r="K353" s="2">
        <v>45663</v>
      </c>
      <c r="L353" t="s">
        <v>26</v>
      </c>
      <c r="M353" t="s">
        <v>57</v>
      </c>
      <c r="O353" t="s">
        <v>43</v>
      </c>
      <c r="P353" t="s">
        <v>93</v>
      </c>
      <c r="Q353">
        <f t="shared" si="20"/>
        <v>1</v>
      </c>
      <c r="R353" s="3">
        <f t="shared" si="21"/>
        <v>4</v>
      </c>
      <c r="S353">
        <f t="shared" si="22"/>
        <v>0</v>
      </c>
      <c r="T353">
        <f t="shared" si="23"/>
        <v>0</v>
      </c>
    </row>
    <row r="354" spans="1:20" x14ac:dyDescent="0.25">
      <c r="A354" t="s">
        <v>420</v>
      </c>
      <c r="B354">
        <v>353</v>
      </c>
      <c r="C354" t="s">
        <v>51</v>
      </c>
      <c r="D354" t="s">
        <v>22</v>
      </c>
      <c r="E354" t="s">
        <v>60</v>
      </c>
      <c r="F354" s="2">
        <v>45894</v>
      </c>
      <c r="G354" s="2">
        <v>45896</v>
      </c>
      <c r="H354" t="s">
        <v>24</v>
      </c>
      <c r="I354" t="s">
        <v>42</v>
      </c>
      <c r="J354" s="2">
        <v>45898</v>
      </c>
      <c r="K354" s="2">
        <v>45898</v>
      </c>
      <c r="L354" t="s">
        <v>26</v>
      </c>
      <c r="M354" t="s">
        <v>57</v>
      </c>
      <c r="O354" t="s">
        <v>69</v>
      </c>
      <c r="Q354">
        <f t="shared" si="20"/>
        <v>1</v>
      </c>
      <c r="R354" s="3">
        <f t="shared" si="21"/>
        <v>4</v>
      </c>
      <c r="S354">
        <f t="shared" si="22"/>
        <v>0</v>
      </c>
      <c r="T354">
        <f t="shared" si="23"/>
        <v>0</v>
      </c>
    </row>
    <row r="355" spans="1:20" x14ac:dyDescent="0.25">
      <c r="A355" t="s">
        <v>421</v>
      </c>
      <c r="B355">
        <v>354</v>
      </c>
      <c r="C355" t="s">
        <v>78</v>
      </c>
      <c r="D355" t="s">
        <v>22</v>
      </c>
      <c r="E355" t="s">
        <v>53</v>
      </c>
      <c r="F355" s="2">
        <v>45984</v>
      </c>
      <c r="G355" s="2">
        <v>45985</v>
      </c>
      <c r="H355" t="s">
        <v>61</v>
      </c>
      <c r="I355" t="s">
        <v>85</v>
      </c>
      <c r="J355" s="2">
        <v>45989</v>
      </c>
      <c r="K355" s="2">
        <v>45989</v>
      </c>
      <c r="L355" t="s">
        <v>46</v>
      </c>
      <c r="M355" t="s">
        <v>27</v>
      </c>
      <c r="O355" t="s">
        <v>37</v>
      </c>
      <c r="P355" t="s">
        <v>88</v>
      </c>
      <c r="Q355">
        <f t="shared" si="20"/>
        <v>1</v>
      </c>
      <c r="R355" s="3">
        <f t="shared" si="21"/>
        <v>5</v>
      </c>
      <c r="S355">
        <f t="shared" si="22"/>
        <v>0</v>
      </c>
      <c r="T355">
        <f t="shared" si="23"/>
        <v>1</v>
      </c>
    </row>
    <row r="356" spans="1:20" x14ac:dyDescent="0.25">
      <c r="A356" t="s">
        <v>422</v>
      </c>
      <c r="B356">
        <v>355</v>
      </c>
      <c r="C356" t="s">
        <v>78</v>
      </c>
      <c r="D356" t="s">
        <v>22</v>
      </c>
      <c r="E356" t="s">
        <v>60</v>
      </c>
      <c r="F356" s="2">
        <v>45946</v>
      </c>
      <c r="G356" s="2">
        <v>45947</v>
      </c>
      <c r="H356" t="s">
        <v>45</v>
      </c>
      <c r="I356" t="s">
        <v>83</v>
      </c>
      <c r="J356" s="2">
        <v>45951</v>
      </c>
      <c r="K356" s="2">
        <v>45951</v>
      </c>
      <c r="L356" t="s">
        <v>26</v>
      </c>
      <c r="M356" t="s">
        <v>27</v>
      </c>
      <c r="O356" t="s">
        <v>28</v>
      </c>
      <c r="Q356">
        <f t="shared" si="20"/>
        <v>1</v>
      </c>
      <c r="R356" s="3">
        <f t="shared" si="21"/>
        <v>5</v>
      </c>
      <c r="S356">
        <f t="shared" si="22"/>
        <v>0</v>
      </c>
      <c r="T356">
        <f t="shared" si="23"/>
        <v>0</v>
      </c>
    </row>
    <row r="357" spans="1:20" x14ac:dyDescent="0.25">
      <c r="A357" t="s">
        <v>423</v>
      </c>
      <c r="B357">
        <v>356</v>
      </c>
      <c r="C357" t="s">
        <v>59</v>
      </c>
      <c r="D357" t="s">
        <v>64</v>
      </c>
      <c r="E357" t="s">
        <v>56</v>
      </c>
      <c r="F357" s="2">
        <v>45708</v>
      </c>
      <c r="G357" s="2">
        <v>45708</v>
      </c>
      <c r="H357" t="s">
        <v>24</v>
      </c>
      <c r="I357" t="s">
        <v>85</v>
      </c>
      <c r="J357" s="2">
        <v>45709</v>
      </c>
      <c r="K357" s="2">
        <v>45709</v>
      </c>
      <c r="L357" t="s">
        <v>46</v>
      </c>
      <c r="M357" t="s">
        <v>57</v>
      </c>
      <c r="O357" t="s">
        <v>34</v>
      </c>
      <c r="Q357">
        <f t="shared" si="20"/>
        <v>1</v>
      </c>
      <c r="R357" s="3">
        <f t="shared" si="21"/>
        <v>1</v>
      </c>
      <c r="S357">
        <f t="shared" si="22"/>
        <v>0</v>
      </c>
      <c r="T357">
        <f t="shared" si="23"/>
        <v>1</v>
      </c>
    </row>
    <row r="358" spans="1:20" x14ac:dyDescent="0.25">
      <c r="A358" t="s">
        <v>424</v>
      </c>
      <c r="B358">
        <v>357</v>
      </c>
      <c r="C358" t="s">
        <v>21</v>
      </c>
      <c r="D358" t="s">
        <v>64</v>
      </c>
      <c r="E358" t="s">
        <v>23</v>
      </c>
      <c r="F358" s="2">
        <v>45972</v>
      </c>
      <c r="G358" s="2">
        <v>45973</v>
      </c>
      <c r="H358" t="s">
        <v>31</v>
      </c>
      <c r="I358" t="s">
        <v>25</v>
      </c>
      <c r="J358" s="2">
        <v>45977</v>
      </c>
      <c r="K358" s="2">
        <v>45981</v>
      </c>
      <c r="L358" t="s">
        <v>26</v>
      </c>
      <c r="M358" t="s">
        <v>32</v>
      </c>
      <c r="N358" t="s">
        <v>67</v>
      </c>
      <c r="O358" t="s">
        <v>69</v>
      </c>
      <c r="P358" t="s">
        <v>71</v>
      </c>
      <c r="Q358">
        <f t="shared" si="20"/>
        <v>0</v>
      </c>
      <c r="R358" s="3">
        <f t="shared" si="21"/>
        <v>5</v>
      </c>
      <c r="S358">
        <f t="shared" si="22"/>
        <v>1</v>
      </c>
      <c r="T358">
        <f t="shared" si="23"/>
        <v>0</v>
      </c>
    </row>
    <row r="359" spans="1:20" x14ac:dyDescent="0.25">
      <c r="A359" t="s">
        <v>425</v>
      </c>
      <c r="B359">
        <v>358</v>
      </c>
      <c r="C359" t="s">
        <v>21</v>
      </c>
      <c r="D359" t="s">
        <v>39</v>
      </c>
      <c r="E359" t="s">
        <v>23</v>
      </c>
      <c r="F359" s="2">
        <v>45754</v>
      </c>
      <c r="G359" s="2">
        <v>45754</v>
      </c>
      <c r="H359" t="s">
        <v>41</v>
      </c>
      <c r="I359" t="s">
        <v>25</v>
      </c>
      <c r="J359" s="2">
        <v>45757</v>
      </c>
      <c r="K359" s="2">
        <v>45757</v>
      </c>
      <c r="L359" t="s">
        <v>26</v>
      </c>
      <c r="M359" t="s">
        <v>27</v>
      </c>
      <c r="O359" t="s">
        <v>69</v>
      </c>
      <c r="Q359">
        <f t="shared" si="20"/>
        <v>1</v>
      </c>
      <c r="R359" s="3">
        <f t="shared" si="21"/>
        <v>3</v>
      </c>
      <c r="S359">
        <f t="shared" si="22"/>
        <v>0</v>
      </c>
      <c r="T359">
        <f t="shared" si="23"/>
        <v>0</v>
      </c>
    </row>
    <row r="360" spans="1:20" x14ac:dyDescent="0.25">
      <c r="A360" t="s">
        <v>426</v>
      </c>
      <c r="B360">
        <v>359</v>
      </c>
      <c r="C360" t="s">
        <v>51</v>
      </c>
      <c r="D360" t="s">
        <v>39</v>
      </c>
      <c r="E360" t="s">
        <v>40</v>
      </c>
      <c r="F360" s="2">
        <v>45988</v>
      </c>
      <c r="G360" s="2">
        <v>45990</v>
      </c>
      <c r="H360" t="s">
        <v>45</v>
      </c>
      <c r="I360" t="s">
        <v>62</v>
      </c>
      <c r="J360" s="2">
        <v>45992</v>
      </c>
      <c r="K360" s="2">
        <v>45992</v>
      </c>
      <c r="L360" t="s">
        <v>26</v>
      </c>
      <c r="M360" t="s">
        <v>57</v>
      </c>
      <c r="O360" t="s">
        <v>43</v>
      </c>
      <c r="Q360">
        <f t="shared" si="20"/>
        <v>1</v>
      </c>
      <c r="R360" s="3">
        <f t="shared" si="21"/>
        <v>4</v>
      </c>
      <c r="S360">
        <f t="shared" si="22"/>
        <v>0</v>
      </c>
      <c r="T360">
        <f t="shared" si="23"/>
        <v>0</v>
      </c>
    </row>
    <row r="361" spans="1:20" x14ac:dyDescent="0.25">
      <c r="A361" t="s">
        <v>427</v>
      </c>
      <c r="B361">
        <v>360</v>
      </c>
      <c r="C361" t="s">
        <v>78</v>
      </c>
      <c r="D361" t="s">
        <v>30</v>
      </c>
      <c r="E361" t="s">
        <v>56</v>
      </c>
      <c r="F361" s="2">
        <v>45852</v>
      </c>
      <c r="G361" s="2">
        <v>45852</v>
      </c>
      <c r="H361" t="s">
        <v>31</v>
      </c>
      <c r="I361" t="s">
        <v>85</v>
      </c>
      <c r="J361" s="2">
        <v>45855</v>
      </c>
      <c r="K361" s="2">
        <v>45857</v>
      </c>
      <c r="L361" t="s">
        <v>46</v>
      </c>
      <c r="M361" t="s">
        <v>32</v>
      </c>
      <c r="N361" t="s">
        <v>67</v>
      </c>
      <c r="O361" t="s">
        <v>69</v>
      </c>
      <c r="Q361">
        <f t="shared" si="20"/>
        <v>0</v>
      </c>
      <c r="R361" s="3">
        <f t="shared" si="21"/>
        <v>3</v>
      </c>
      <c r="S361">
        <f t="shared" si="22"/>
        <v>1</v>
      </c>
      <c r="T361">
        <f t="shared" si="23"/>
        <v>1</v>
      </c>
    </row>
    <row r="362" spans="1:20" x14ac:dyDescent="0.25">
      <c r="A362" t="s">
        <v>428</v>
      </c>
      <c r="B362">
        <v>361</v>
      </c>
      <c r="C362" t="s">
        <v>59</v>
      </c>
      <c r="D362" t="s">
        <v>52</v>
      </c>
      <c r="E362" t="s">
        <v>23</v>
      </c>
      <c r="F362" s="2">
        <v>45742</v>
      </c>
      <c r="G362" s="2">
        <v>45742</v>
      </c>
      <c r="H362" t="s">
        <v>45</v>
      </c>
      <c r="I362" t="s">
        <v>62</v>
      </c>
      <c r="J362" s="2">
        <v>45743</v>
      </c>
      <c r="K362" s="2">
        <v>45745</v>
      </c>
      <c r="L362" t="s">
        <v>46</v>
      </c>
      <c r="M362" t="s">
        <v>32</v>
      </c>
      <c r="N362" t="s">
        <v>67</v>
      </c>
      <c r="O362" t="s">
        <v>69</v>
      </c>
      <c r="Q362">
        <f t="shared" si="20"/>
        <v>0</v>
      </c>
      <c r="R362" s="3">
        <f t="shared" si="21"/>
        <v>1</v>
      </c>
      <c r="S362">
        <f t="shared" si="22"/>
        <v>1</v>
      </c>
      <c r="T362">
        <f t="shared" si="23"/>
        <v>1</v>
      </c>
    </row>
    <row r="363" spans="1:20" x14ac:dyDescent="0.25">
      <c r="A363" t="s">
        <v>429</v>
      </c>
      <c r="B363">
        <v>362</v>
      </c>
      <c r="C363" t="s">
        <v>21</v>
      </c>
      <c r="D363" t="s">
        <v>52</v>
      </c>
      <c r="E363" t="s">
        <v>40</v>
      </c>
      <c r="F363" s="2">
        <v>45935</v>
      </c>
      <c r="G363" s="2">
        <v>45935</v>
      </c>
      <c r="H363" t="s">
        <v>24</v>
      </c>
      <c r="I363" t="s">
        <v>25</v>
      </c>
      <c r="J363" s="2">
        <v>45940</v>
      </c>
      <c r="K363" s="2">
        <v>45940</v>
      </c>
      <c r="L363" t="s">
        <v>26</v>
      </c>
      <c r="M363" t="s">
        <v>27</v>
      </c>
      <c r="O363" t="s">
        <v>43</v>
      </c>
      <c r="Q363">
        <f t="shared" si="20"/>
        <v>1</v>
      </c>
      <c r="R363" s="3">
        <f t="shared" si="21"/>
        <v>5</v>
      </c>
      <c r="S363">
        <f t="shared" si="22"/>
        <v>0</v>
      </c>
      <c r="T363">
        <f t="shared" si="23"/>
        <v>0</v>
      </c>
    </row>
    <row r="364" spans="1:20" x14ac:dyDescent="0.25">
      <c r="A364" t="s">
        <v>430</v>
      </c>
      <c r="B364">
        <v>363</v>
      </c>
      <c r="C364" t="s">
        <v>59</v>
      </c>
      <c r="D364" t="s">
        <v>39</v>
      </c>
      <c r="E364" t="s">
        <v>53</v>
      </c>
      <c r="F364" s="2">
        <v>45962</v>
      </c>
      <c r="G364" s="2">
        <v>45963</v>
      </c>
      <c r="H364" t="s">
        <v>61</v>
      </c>
      <c r="I364" t="s">
        <v>25</v>
      </c>
      <c r="J364" s="2">
        <v>45968</v>
      </c>
      <c r="K364" s="2">
        <v>45968</v>
      </c>
      <c r="L364" t="s">
        <v>26</v>
      </c>
      <c r="M364" t="s">
        <v>27</v>
      </c>
      <c r="O364" t="s">
        <v>81</v>
      </c>
      <c r="Q364">
        <f t="shared" si="20"/>
        <v>1</v>
      </c>
      <c r="R364" s="3">
        <f t="shared" si="21"/>
        <v>6</v>
      </c>
      <c r="S364">
        <f t="shared" si="22"/>
        <v>0</v>
      </c>
      <c r="T364">
        <f t="shared" si="23"/>
        <v>0</v>
      </c>
    </row>
    <row r="365" spans="1:20" x14ac:dyDescent="0.25">
      <c r="A365" t="s">
        <v>431</v>
      </c>
      <c r="B365">
        <v>364</v>
      </c>
      <c r="C365" t="s">
        <v>36</v>
      </c>
      <c r="D365" t="s">
        <v>64</v>
      </c>
      <c r="E365" t="s">
        <v>40</v>
      </c>
      <c r="F365" s="2">
        <v>45954</v>
      </c>
      <c r="G365" s="2">
        <v>45954</v>
      </c>
      <c r="H365" t="s">
        <v>45</v>
      </c>
      <c r="I365" t="s">
        <v>54</v>
      </c>
      <c r="J365" s="2">
        <v>45958</v>
      </c>
      <c r="K365" s="2">
        <v>45958</v>
      </c>
      <c r="L365" t="s">
        <v>46</v>
      </c>
      <c r="M365" t="s">
        <v>27</v>
      </c>
      <c r="O365" t="s">
        <v>28</v>
      </c>
      <c r="Q365">
        <f t="shared" si="20"/>
        <v>1</v>
      </c>
      <c r="R365" s="3">
        <f t="shared" si="21"/>
        <v>4</v>
      </c>
      <c r="S365">
        <f t="shared" si="22"/>
        <v>0</v>
      </c>
      <c r="T365">
        <f t="shared" si="23"/>
        <v>1</v>
      </c>
    </row>
    <row r="366" spans="1:20" x14ac:dyDescent="0.25">
      <c r="A366" t="s">
        <v>432</v>
      </c>
      <c r="B366">
        <v>365</v>
      </c>
      <c r="C366" t="s">
        <v>21</v>
      </c>
      <c r="D366" t="s">
        <v>30</v>
      </c>
      <c r="E366" t="s">
        <v>53</v>
      </c>
      <c r="F366" s="2">
        <v>46005</v>
      </c>
      <c r="G366" s="2">
        <v>46005</v>
      </c>
      <c r="H366" t="s">
        <v>41</v>
      </c>
      <c r="I366" t="s">
        <v>85</v>
      </c>
      <c r="J366" s="2">
        <v>46007</v>
      </c>
      <c r="K366" s="2">
        <v>46007</v>
      </c>
      <c r="L366" t="s">
        <v>46</v>
      </c>
      <c r="M366" t="s">
        <v>27</v>
      </c>
      <c r="O366" t="s">
        <v>37</v>
      </c>
      <c r="Q366">
        <f t="shared" si="20"/>
        <v>1</v>
      </c>
      <c r="R366" s="3">
        <f t="shared" si="21"/>
        <v>2</v>
      </c>
      <c r="S366">
        <f t="shared" si="22"/>
        <v>0</v>
      </c>
      <c r="T366">
        <f t="shared" si="23"/>
        <v>1</v>
      </c>
    </row>
    <row r="367" spans="1:20" x14ac:dyDescent="0.25">
      <c r="A367" t="s">
        <v>433</v>
      </c>
      <c r="B367">
        <v>366</v>
      </c>
      <c r="C367" t="s">
        <v>78</v>
      </c>
      <c r="D367" t="s">
        <v>22</v>
      </c>
      <c r="E367" t="s">
        <v>60</v>
      </c>
      <c r="F367" s="2">
        <v>45761</v>
      </c>
      <c r="G367" s="2">
        <v>45762</v>
      </c>
      <c r="H367" t="s">
        <v>61</v>
      </c>
      <c r="I367" t="s">
        <v>25</v>
      </c>
      <c r="J367" s="2">
        <v>45764</v>
      </c>
      <c r="K367" s="2">
        <v>45764</v>
      </c>
      <c r="L367" t="s">
        <v>26</v>
      </c>
      <c r="M367" t="s">
        <v>57</v>
      </c>
      <c r="O367" t="s">
        <v>43</v>
      </c>
      <c r="Q367">
        <f t="shared" si="20"/>
        <v>1</v>
      </c>
      <c r="R367" s="3">
        <f t="shared" si="21"/>
        <v>3</v>
      </c>
      <c r="S367">
        <f t="shared" si="22"/>
        <v>0</v>
      </c>
      <c r="T367">
        <f t="shared" si="23"/>
        <v>0</v>
      </c>
    </row>
    <row r="368" spans="1:20" x14ac:dyDescent="0.25">
      <c r="A368" t="s">
        <v>434</v>
      </c>
      <c r="B368">
        <v>367</v>
      </c>
      <c r="C368" t="s">
        <v>51</v>
      </c>
      <c r="D368" t="s">
        <v>64</v>
      </c>
      <c r="E368" t="s">
        <v>60</v>
      </c>
      <c r="F368" s="2">
        <v>45766</v>
      </c>
      <c r="G368" s="2">
        <v>45767</v>
      </c>
      <c r="H368" t="s">
        <v>41</v>
      </c>
      <c r="I368" t="s">
        <v>25</v>
      </c>
      <c r="J368" s="2">
        <v>45770</v>
      </c>
      <c r="K368" s="2">
        <v>45770</v>
      </c>
      <c r="L368" t="s">
        <v>26</v>
      </c>
      <c r="M368" t="s">
        <v>27</v>
      </c>
      <c r="O368" t="s">
        <v>69</v>
      </c>
      <c r="Q368">
        <f t="shared" si="20"/>
        <v>1</v>
      </c>
      <c r="R368" s="3">
        <f t="shared" si="21"/>
        <v>4</v>
      </c>
      <c r="S368">
        <f t="shared" si="22"/>
        <v>0</v>
      </c>
      <c r="T368">
        <f t="shared" si="23"/>
        <v>0</v>
      </c>
    </row>
    <row r="369" spans="1:20" x14ac:dyDescent="0.25">
      <c r="A369" t="s">
        <v>435</v>
      </c>
      <c r="B369">
        <v>368</v>
      </c>
      <c r="C369" t="s">
        <v>36</v>
      </c>
      <c r="D369" t="s">
        <v>39</v>
      </c>
      <c r="E369" t="s">
        <v>56</v>
      </c>
      <c r="F369" s="2">
        <v>45719</v>
      </c>
      <c r="G369" s="2">
        <v>45720</v>
      </c>
      <c r="H369" t="s">
        <v>61</v>
      </c>
      <c r="I369" t="s">
        <v>54</v>
      </c>
      <c r="J369" s="2">
        <v>45724</v>
      </c>
      <c r="K369" s="2">
        <v>45724</v>
      </c>
      <c r="L369" t="s">
        <v>26</v>
      </c>
      <c r="M369" t="s">
        <v>27</v>
      </c>
      <c r="O369" t="s">
        <v>69</v>
      </c>
      <c r="Q369">
        <f t="shared" si="20"/>
        <v>1</v>
      </c>
      <c r="R369" s="3">
        <f t="shared" si="21"/>
        <v>5</v>
      </c>
      <c r="S369">
        <f t="shared" si="22"/>
        <v>0</v>
      </c>
      <c r="T369">
        <f t="shared" si="23"/>
        <v>0</v>
      </c>
    </row>
    <row r="370" spans="1:20" x14ac:dyDescent="0.25">
      <c r="A370" t="s">
        <v>436</v>
      </c>
      <c r="B370">
        <v>369</v>
      </c>
      <c r="C370" t="s">
        <v>78</v>
      </c>
      <c r="D370" t="s">
        <v>64</v>
      </c>
      <c r="E370" t="s">
        <v>53</v>
      </c>
      <c r="F370" s="2">
        <v>45890</v>
      </c>
      <c r="G370" s="2">
        <v>45892</v>
      </c>
      <c r="H370" t="s">
        <v>61</v>
      </c>
      <c r="I370" t="s">
        <v>25</v>
      </c>
      <c r="J370" s="2">
        <v>45897</v>
      </c>
      <c r="K370" s="2">
        <v>45897</v>
      </c>
      <c r="L370" t="s">
        <v>26</v>
      </c>
      <c r="M370" t="s">
        <v>27</v>
      </c>
      <c r="O370" t="s">
        <v>37</v>
      </c>
      <c r="Q370">
        <f t="shared" si="20"/>
        <v>1</v>
      </c>
      <c r="R370" s="3">
        <f t="shared" si="21"/>
        <v>7</v>
      </c>
      <c r="S370">
        <f t="shared" si="22"/>
        <v>0</v>
      </c>
      <c r="T370">
        <f t="shared" si="23"/>
        <v>0</v>
      </c>
    </row>
    <row r="371" spans="1:20" x14ac:dyDescent="0.25">
      <c r="A371" t="s">
        <v>437</v>
      </c>
      <c r="B371">
        <v>370</v>
      </c>
      <c r="C371" t="s">
        <v>21</v>
      </c>
      <c r="D371" t="s">
        <v>30</v>
      </c>
      <c r="E371" t="s">
        <v>40</v>
      </c>
      <c r="F371" s="2">
        <v>45836</v>
      </c>
      <c r="G371" s="2">
        <v>45837</v>
      </c>
      <c r="H371" t="s">
        <v>31</v>
      </c>
      <c r="I371" t="s">
        <v>54</v>
      </c>
      <c r="J371" s="2">
        <v>45841</v>
      </c>
      <c r="K371" s="2">
        <v>45841</v>
      </c>
      <c r="L371" t="s">
        <v>46</v>
      </c>
      <c r="M371" t="s">
        <v>27</v>
      </c>
      <c r="O371" t="s">
        <v>37</v>
      </c>
      <c r="P371" t="s">
        <v>88</v>
      </c>
      <c r="Q371">
        <f t="shared" si="20"/>
        <v>1</v>
      </c>
      <c r="R371" s="3">
        <f t="shared" si="21"/>
        <v>5</v>
      </c>
      <c r="S371">
        <f t="shared" si="22"/>
        <v>0</v>
      </c>
      <c r="T371">
        <f t="shared" si="23"/>
        <v>1</v>
      </c>
    </row>
    <row r="372" spans="1:20" x14ac:dyDescent="0.25">
      <c r="A372" t="s">
        <v>438</v>
      </c>
      <c r="B372">
        <v>371</v>
      </c>
      <c r="C372" t="s">
        <v>59</v>
      </c>
      <c r="D372" t="s">
        <v>39</v>
      </c>
      <c r="E372" t="s">
        <v>23</v>
      </c>
      <c r="F372" s="2">
        <v>45834</v>
      </c>
      <c r="G372" s="2">
        <v>45835</v>
      </c>
      <c r="H372" t="s">
        <v>24</v>
      </c>
      <c r="I372" t="s">
        <v>25</v>
      </c>
      <c r="J372" s="2">
        <v>45838</v>
      </c>
      <c r="K372" s="2">
        <v>45838</v>
      </c>
      <c r="L372" t="s">
        <v>26</v>
      </c>
      <c r="M372" t="s">
        <v>57</v>
      </c>
      <c r="O372" t="s">
        <v>69</v>
      </c>
      <c r="Q372">
        <f t="shared" si="20"/>
        <v>1</v>
      </c>
      <c r="R372" s="3">
        <f t="shared" si="21"/>
        <v>4</v>
      </c>
      <c r="S372">
        <f t="shared" si="22"/>
        <v>0</v>
      </c>
      <c r="T372">
        <f t="shared" si="23"/>
        <v>0</v>
      </c>
    </row>
    <row r="373" spans="1:20" x14ac:dyDescent="0.25">
      <c r="A373" t="s">
        <v>439</v>
      </c>
      <c r="B373">
        <v>372</v>
      </c>
      <c r="C373" t="s">
        <v>51</v>
      </c>
      <c r="D373" t="s">
        <v>52</v>
      </c>
      <c r="E373" t="s">
        <v>56</v>
      </c>
      <c r="F373" s="2">
        <v>45851</v>
      </c>
      <c r="G373" s="2">
        <v>45853</v>
      </c>
      <c r="H373" t="s">
        <v>45</v>
      </c>
      <c r="I373" t="s">
        <v>42</v>
      </c>
      <c r="J373" s="2">
        <v>45855</v>
      </c>
      <c r="K373" s="2">
        <v>45855</v>
      </c>
      <c r="L373" t="s">
        <v>26</v>
      </c>
      <c r="M373" t="s">
        <v>57</v>
      </c>
      <c r="O373" t="s">
        <v>37</v>
      </c>
      <c r="Q373">
        <f t="shared" si="20"/>
        <v>1</v>
      </c>
      <c r="R373" s="3">
        <f t="shared" si="21"/>
        <v>4</v>
      </c>
      <c r="S373">
        <f t="shared" si="22"/>
        <v>0</v>
      </c>
      <c r="T373">
        <f t="shared" si="23"/>
        <v>0</v>
      </c>
    </row>
    <row r="374" spans="1:20" x14ac:dyDescent="0.25">
      <c r="A374" t="s">
        <v>440</v>
      </c>
      <c r="B374">
        <v>373</v>
      </c>
      <c r="C374" t="s">
        <v>21</v>
      </c>
      <c r="D374" t="s">
        <v>22</v>
      </c>
      <c r="E374" t="s">
        <v>60</v>
      </c>
      <c r="F374" s="2">
        <v>45800</v>
      </c>
      <c r="G374" s="2">
        <v>45801</v>
      </c>
      <c r="H374" t="s">
        <v>61</v>
      </c>
      <c r="I374" t="s">
        <v>42</v>
      </c>
      <c r="J374" s="2">
        <v>45803</v>
      </c>
      <c r="K374" s="2">
        <v>45803</v>
      </c>
      <c r="L374" t="s">
        <v>26</v>
      </c>
      <c r="M374" t="s">
        <v>57</v>
      </c>
      <c r="O374" t="s">
        <v>81</v>
      </c>
      <c r="Q374">
        <f t="shared" si="20"/>
        <v>1</v>
      </c>
      <c r="R374" s="3">
        <f t="shared" si="21"/>
        <v>3</v>
      </c>
      <c r="S374">
        <f t="shared" si="22"/>
        <v>0</v>
      </c>
      <c r="T374">
        <f t="shared" si="23"/>
        <v>0</v>
      </c>
    </row>
    <row r="375" spans="1:20" x14ac:dyDescent="0.25">
      <c r="A375" t="s">
        <v>441</v>
      </c>
      <c r="B375">
        <v>374</v>
      </c>
      <c r="C375" t="s">
        <v>78</v>
      </c>
      <c r="D375" t="s">
        <v>52</v>
      </c>
      <c r="E375" t="s">
        <v>60</v>
      </c>
      <c r="F375" s="2">
        <v>45661</v>
      </c>
      <c r="G375" s="2">
        <v>45661</v>
      </c>
      <c r="H375" t="s">
        <v>45</v>
      </c>
      <c r="I375" t="s">
        <v>73</v>
      </c>
      <c r="J375" s="2">
        <v>45664</v>
      </c>
      <c r="K375" s="2">
        <v>45664</v>
      </c>
      <c r="L375" t="s">
        <v>26</v>
      </c>
      <c r="M375" t="s">
        <v>57</v>
      </c>
      <c r="O375" t="s">
        <v>34</v>
      </c>
      <c r="Q375">
        <f t="shared" si="20"/>
        <v>1</v>
      </c>
      <c r="R375" s="3">
        <f t="shared" si="21"/>
        <v>3</v>
      </c>
      <c r="S375">
        <f t="shared" si="22"/>
        <v>0</v>
      </c>
      <c r="T375">
        <f t="shared" si="23"/>
        <v>0</v>
      </c>
    </row>
    <row r="376" spans="1:20" x14ac:dyDescent="0.25">
      <c r="A376" t="s">
        <v>442</v>
      </c>
      <c r="B376">
        <v>375</v>
      </c>
      <c r="C376" t="s">
        <v>51</v>
      </c>
      <c r="D376" t="s">
        <v>52</v>
      </c>
      <c r="E376" t="s">
        <v>23</v>
      </c>
      <c r="F376" s="2">
        <v>45844</v>
      </c>
      <c r="G376" s="2">
        <v>45846</v>
      </c>
      <c r="H376" t="s">
        <v>61</v>
      </c>
      <c r="I376" t="s">
        <v>83</v>
      </c>
      <c r="J376" s="2">
        <v>45849</v>
      </c>
      <c r="K376" s="2">
        <v>45851</v>
      </c>
      <c r="L376" t="s">
        <v>26</v>
      </c>
      <c r="M376" t="s">
        <v>32</v>
      </c>
      <c r="N376" t="s">
        <v>33</v>
      </c>
      <c r="O376" t="s">
        <v>28</v>
      </c>
      <c r="Q376">
        <f t="shared" si="20"/>
        <v>0</v>
      </c>
      <c r="R376" s="3">
        <f t="shared" si="21"/>
        <v>5</v>
      </c>
      <c r="S376">
        <f t="shared" si="22"/>
        <v>1</v>
      </c>
      <c r="T376">
        <f t="shared" si="23"/>
        <v>0</v>
      </c>
    </row>
    <row r="377" spans="1:20" x14ac:dyDescent="0.25">
      <c r="A377" t="s">
        <v>443</v>
      </c>
      <c r="B377">
        <v>376</v>
      </c>
      <c r="C377" t="s">
        <v>36</v>
      </c>
      <c r="D377" t="s">
        <v>22</v>
      </c>
      <c r="E377" t="s">
        <v>56</v>
      </c>
      <c r="F377" s="2">
        <v>45784</v>
      </c>
      <c r="G377" s="2">
        <v>45786</v>
      </c>
      <c r="H377" t="s">
        <v>24</v>
      </c>
      <c r="I377" t="s">
        <v>54</v>
      </c>
      <c r="J377" s="2">
        <v>45788</v>
      </c>
      <c r="K377" s="2">
        <v>45788</v>
      </c>
      <c r="L377" t="s">
        <v>26</v>
      </c>
      <c r="M377" t="s">
        <v>27</v>
      </c>
      <c r="O377" t="s">
        <v>34</v>
      </c>
      <c r="Q377">
        <f t="shared" si="20"/>
        <v>1</v>
      </c>
      <c r="R377" s="3">
        <f t="shared" si="21"/>
        <v>4</v>
      </c>
      <c r="S377">
        <f t="shared" si="22"/>
        <v>0</v>
      </c>
      <c r="T377">
        <f t="shared" si="23"/>
        <v>0</v>
      </c>
    </row>
    <row r="378" spans="1:20" x14ac:dyDescent="0.25">
      <c r="A378" t="s">
        <v>444</v>
      </c>
      <c r="B378">
        <v>377</v>
      </c>
      <c r="C378" t="s">
        <v>59</v>
      </c>
      <c r="D378" t="s">
        <v>52</v>
      </c>
      <c r="E378" t="s">
        <v>56</v>
      </c>
      <c r="F378" s="2">
        <v>45844</v>
      </c>
      <c r="G378" s="2">
        <v>45844</v>
      </c>
      <c r="H378" t="s">
        <v>31</v>
      </c>
      <c r="I378" t="s">
        <v>25</v>
      </c>
      <c r="J378" s="2">
        <v>45846</v>
      </c>
      <c r="K378" s="2">
        <v>45846</v>
      </c>
      <c r="L378" t="s">
        <v>46</v>
      </c>
      <c r="M378" t="s">
        <v>57</v>
      </c>
      <c r="O378" t="s">
        <v>37</v>
      </c>
      <c r="Q378">
        <f t="shared" si="20"/>
        <v>1</v>
      </c>
      <c r="R378" s="3">
        <f t="shared" si="21"/>
        <v>2</v>
      </c>
      <c r="S378">
        <f t="shared" si="22"/>
        <v>0</v>
      </c>
      <c r="T378">
        <f t="shared" si="23"/>
        <v>1</v>
      </c>
    </row>
    <row r="379" spans="1:20" x14ac:dyDescent="0.25">
      <c r="A379" t="s">
        <v>445</v>
      </c>
      <c r="B379">
        <v>378</v>
      </c>
      <c r="C379" t="s">
        <v>78</v>
      </c>
      <c r="D379" t="s">
        <v>39</v>
      </c>
      <c r="E379" t="s">
        <v>60</v>
      </c>
      <c r="F379" s="2">
        <v>46006</v>
      </c>
      <c r="G379" s="2">
        <v>46006</v>
      </c>
      <c r="H379" t="s">
        <v>45</v>
      </c>
      <c r="I379" t="s">
        <v>85</v>
      </c>
      <c r="J379" s="2">
        <v>46011</v>
      </c>
      <c r="K379" s="2">
        <v>46011</v>
      </c>
      <c r="L379" t="s">
        <v>26</v>
      </c>
      <c r="M379" t="s">
        <v>57</v>
      </c>
      <c r="O379" t="s">
        <v>69</v>
      </c>
      <c r="Q379">
        <f t="shared" si="20"/>
        <v>1</v>
      </c>
      <c r="R379" s="3">
        <f t="shared" si="21"/>
        <v>5</v>
      </c>
      <c r="S379">
        <f t="shared" si="22"/>
        <v>0</v>
      </c>
      <c r="T379">
        <f t="shared" si="23"/>
        <v>0</v>
      </c>
    </row>
    <row r="380" spans="1:20" x14ac:dyDescent="0.25">
      <c r="A380" t="s">
        <v>446</v>
      </c>
      <c r="B380">
        <v>379</v>
      </c>
      <c r="C380" t="s">
        <v>36</v>
      </c>
      <c r="D380" t="s">
        <v>52</v>
      </c>
      <c r="E380" t="s">
        <v>60</v>
      </c>
      <c r="F380" s="2">
        <v>45717</v>
      </c>
      <c r="G380" s="2">
        <v>45719</v>
      </c>
      <c r="H380" t="s">
        <v>31</v>
      </c>
      <c r="I380" t="s">
        <v>54</v>
      </c>
      <c r="J380" s="2">
        <v>45723</v>
      </c>
      <c r="K380" s="2">
        <v>45723</v>
      </c>
      <c r="L380" t="s">
        <v>46</v>
      </c>
      <c r="M380" t="s">
        <v>57</v>
      </c>
      <c r="O380" t="s">
        <v>37</v>
      </c>
      <c r="P380" t="s">
        <v>71</v>
      </c>
      <c r="Q380">
        <f t="shared" si="20"/>
        <v>1</v>
      </c>
      <c r="R380" s="3">
        <f t="shared" si="21"/>
        <v>6</v>
      </c>
      <c r="S380">
        <f t="shared" si="22"/>
        <v>0</v>
      </c>
      <c r="T380">
        <f t="shared" si="23"/>
        <v>1</v>
      </c>
    </row>
    <row r="381" spans="1:20" x14ac:dyDescent="0.25">
      <c r="A381" t="s">
        <v>447</v>
      </c>
      <c r="B381">
        <v>380</v>
      </c>
      <c r="C381" t="s">
        <v>51</v>
      </c>
      <c r="D381" t="s">
        <v>52</v>
      </c>
      <c r="E381" t="s">
        <v>40</v>
      </c>
      <c r="F381" s="2">
        <v>45911</v>
      </c>
      <c r="G381" s="2">
        <v>45912</v>
      </c>
      <c r="H381" t="s">
        <v>24</v>
      </c>
      <c r="I381" t="s">
        <v>42</v>
      </c>
      <c r="J381" s="2">
        <v>45914</v>
      </c>
      <c r="K381" s="2">
        <v>45914</v>
      </c>
      <c r="L381" t="s">
        <v>26</v>
      </c>
      <c r="M381" t="s">
        <v>57</v>
      </c>
      <c r="O381" t="s">
        <v>37</v>
      </c>
      <c r="Q381">
        <f t="shared" si="20"/>
        <v>1</v>
      </c>
      <c r="R381" s="3">
        <f t="shared" si="21"/>
        <v>3</v>
      </c>
      <c r="S381">
        <f t="shared" si="22"/>
        <v>0</v>
      </c>
      <c r="T381">
        <f t="shared" si="23"/>
        <v>0</v>
      </c>
    </row>
    <row r="382" spans="1:20" x14ac:dyDescent="0.25">
      <c r="A382" t="s">
        <v>448</v>
      </c>
      <c r="B382">
        <v>381</v>
      </c>
      <c r="C382" t="s">
        <v>21</v>
      </c>
      <c r="D382" t="s">
        <v>22</v>
      </c>
      <c r="E382" t="s">
        <v>60</v>
      </c>
      <c r="F382" s="2">
        <v>45918</v>
      </c>
      <c r="G382" s="2">
        <v>45919</v>
      </c>
      <c r="H382" t="s">
        <v>41</v>
      </c>
      <c r="I382" t="s">
        <v>85</v>
      </c>
      <c r="J382" s="2">
        <v>45920</v>
      </c>
      <c r="K382" s="2">
        <v>45920</v>
      </c>
      <c r="L382" t="s">
        <v>26</v>
      </c>
      <c r="M382" t="s">
        <v>57</v>
      </c>
      <c r="O382" t="s">
        <v>28</v>
      </c>
      <c r="P382" t="s">
        <v>76</v>
      </c>
      <c r="Q382">
        <f t="shared" si="20"/>
        <v>1</v>
      </c>
      <c r="R382" s="3">
        <f t="shared" si="21"/>
        <v>2</v>
      </c>
      <c r="S382">
        <f t="shared" si="22"/>
        <v>0</v>
      </c>
      <c r="T382">
        <f t="shared" si="23"/>
        <v>0</v>
      </c>
    </row>
    <row r="383" spans="1:20" x14ac:dyDescent="0.25">
      <c r="A383" t="s">
        <v>449</v>
      </c>
      <c r="B383">
        <v>382</v>
      </c>
      <c r="C383" t="s">
        <v>51</v>
      </c>
      <c r="D383" t="s">
        <v>52</v>
      </c>
      <c r="E383" t="s">
        <v>56</v>
      </c>
      <c r="F383" s="2">
        <v>45796</v>
      </c>
      <c r="G383" s="2">
        <v>45796</v>
      </c>
      <c r="H383" t="s">
        <v>41</v>
      </c>
      <c r="I383" t="s">
        <v>73</v>
      </c>
      <c r="J383" s="2">
        <v>45799</v>
      </c>
      <c r="K383" s="2">
        <v>45803</v>
      </c>
      <c r="L383" t="s">
        <v>26</v>
      </c>
      <c r="M383" t="s">
        <v>32</v>
      </c>
      <c r="N383" t="s">
        <v>49</v>
      </c>
      <c r="O383" t="s">
        <v>43</v>
      </c>
      <c r="Q383">
        <f t="shared" si="20"/>
        <v>0</v>
      </c>
      <c r="R383" s="3">
        <f t="shared" si="21"/>
        <v>3</v>
      </c>
      <c r="S383">
        <f t="shared" si="22"/>
        <v>1</v>
      </c>
      <c r="T383">
        <f t="shared" si="23"/>
        <v>0</v>
      </c>
    </row>
    <row r="384" spans="1:20" x14ac:dyDescent="0.25">
      <c r="A384" t="s">
        <v>450</v>
      </c>
      <c r="B384">
        <v>383</v>
      </c>
      <c r="C384" t="s">
        <v>36</v>
      </c>
      <c r="D384" t="s">
        <v>39</v>
      </c>
      <c r="E384" t="s">
        <v>60</v>
      </c>
      <c r="F384" s="2">
        <v>45862</v>
      </c>
      <c r="G384" s="2">
        <v>45863</v>
      </c>
      <c r="H384" t="s">
        <v>31</v>
      </c>
      <c r="I384" t="s">
        <v>25</v>
      </c>
      <c r="J384" s="2">
        <v>45866</v>
      </c>
      <c r="K384" s="2">
        <v>45866</v>
      </c>
      <c r="L384" t="s">
        <v>46</v>
      </c>
      <c r="M384" t="s">
        <v>57</v>
      </c>
      <c r="O384" t="s">
        <v>69</v>
      </c>
      <c r="Q384">
        <f t="shared" si="20"/>
        <v>1</v>
      </c>
      <c r="R384" s="3">
        <f t="shared" si="21"/>
        <v>4</v>
      </c>
      <c r="S384">
        <f t="shared" si="22"/>
        <v>0</v>
      </c>
      <c r="T384">
        <f t="shared" si="23"/>
        <v>1</v>
      </c>
    </row>
    <row r="385" spans="1:20" x14ac:dyDescent="0.25">
      <c r="A385" t="s">
        <v>451</v>
      </c>
      <c r="B385">
        <v>384</v>
      </c>
      <c r="C385" t="s">
        <v>59</v>
      </c>
      <c r="D385" t="s">
        <v>39</v>
      </c>
      <c r="E385" t="s">
        <v>23</v>
      </c>
      <c r="F385" s="2">
        <v>46014</v>
      </c>
      <c r="G385" s="2">
        <v>46015</v>
      </c>
      <c r="H385" t="s">
        <v>31</v>
      </c>
      <c r="I385" t="s">
        <v>85</v>
      </c>
      <c r="J385" s="2">
        <v>46018</v>
      </c>
      <c r="K385" s="2">
        <v>46018</v>
      </c>
      <c r="L385" t="s">
        <v>46</v>
      </c>
      <c r="M385" t="s">
        <v>27</v>
      </c>
      <c r="O385" t="s">
        <v>69</v>
      </c>
      <c r="P385" t="s">
        <v>88</v>
      </c>
      <c r="Q385">
        <f t="shared" si="20"/>
        <v>1</v>
      </c>
      <c r="R385" s="3">
        <f t="shared" si="21"/>
        <v>4</v>
      </c>
      <c r="S385">
        <f t="shared" si="22"/>
        <v>0</v>
      </c>
      <c r="T385">
        <f t="shared" si="23"/>
        <v>1</v>
      </c>
    </row>
    <row r="386" spans="1:20" x14ac:dyDescent="0.25">
      <c r="A386" t="s">
        <v>452</v>
      </c>
      <c r="B386">
        <v>385</v>
      </c>
      <c r="C386" t="s">
        <v>21</v>
      </c>
      <c r="D386" t="s">
        <v>39</v>
      </c>
      <c r="E386" t="s">
        <v>23</v>
      </c>
      <c r="F386" s="2">
        <v>45804</v>
      </c>
      <c r="G386" s="2">
        <v>45806</v>
      </c>
      <c r="H386" t="s">
        <v>45</v>
      </c>
      <c r="I386" t="s">
        <v>62</v>
      </c>
      <c r="J386" s="2">
        <v>45810</v>
      </c>
      <c r="K386" s="2">
        <v>45810</v>
      </c>
      <c r="L386" t="s">
        <v>26</v>
      </c>
      <c r="M386" t="s">
        <v>27</v>
      </c>
      <c r="O386" t="s">
        <v>34</v>
      </c>
      <c r="P386" t="s">
        <v>71</v>
      </c>
      <c r="Q386">
        <f t="shared" si="20"/>
        <v>1</v>
      </c>
      <c r="R386" s="3">
        <f t="shared" si="21"/>
        <v>6</v>
      </c>
      <c r="S386">
        <f t="shared" si="22"/>
        <v>0</v>
      </c>
      <c r="T386">
        <f t="shared" si="23"/>
        <v>0</v>
      </c>
    </row>
    <row r="387" spans="1:20" x14ac:dyDescent="0.25">
      <c r="A387" t="s">
        <v>453</v>
      </c>
      <c r="B387">
        <v>386</v>
      </c>
      <c r="C387" t="s">
        <v>36</v>
      </c>
      <c r="D387" t="s">
        <v>52</v>
      </c>
      <c r="E387" t="s">
        <v>53</v>
      </c>
      <c r="F387" s="2">
        <v>45935</v>
      </c>
      <c r="G387" s="2">
        <v>45937</v>
      </c>
      <c r="H387" t="s">
        <v>24</v>
      </c>
      <c r="I387" t="s">
        <v>62</v>
      </c>
      <c r="J387" s="2">
        <v>45940</v>
      </c>
      <c r="K387" s="2">
        <v>45940</v>
      </c>
      <c r="L387" t="s">
        <v>26</v>
      </c>
      <c r="M387" t="s">
        <v>27</v>
      </c>
      <c r="O387" t="s">
        <v>81</v>
      </c>
      <c r="Q387">
        <f t="shared" ref="Q387:Q450" si="24">IF(K387&lt;=J387,1,0)</f>
        <v>1</v>
      </c>
      <c r="R387" s="3">
        <f t="shared" ref="R387:R450" si="25">(J387-F387)</f>
        <v>5</v>
      </c>
      <c r="S387">
        <f t="shared" ref="S387:S450" si="26">IF(M387="Delayed",1,0)</f>
        <v>0</v>
      </c>
      <c r="T387">
        <f t="shared" ref="T387:T450" si="27">IF(L387="n",1,0)</f>
        <v>0</v>
      </c>
    </row>
    <row r="388" spans="1:20" x14ac:dyDescent="0.25">
      <c r="A388" t="s">
        <v>454</v>
      </c>
      <c r="B388">
        <v>387</v>
      </c>
      <c r="C388" t="s">
        <v>21</v>
      </c>
      <c r="D388" t="s">
        <v>39</v>
      </c>
      <c r="E388" t="s">
        <v>40</v>
      </c>
      <c r="F388" s="2">
        <v>45963</v>
      </c>
      <c r="G388" s="2">
        <v>45963</v>
      </c>
      <c r="H388" t="s">
        <v>31</v>
      </c>
      <c r="I388" t="s">
        <v>85</v>
      </c>
      <c r="J388" s="2">
        <v>45966</v>
      </c>
      <c r="K388" s="2">
        <v>45966</v>
      </c>
      <c r="L388" t="s">
        <v>26</v>
      </c>
      <c r="M388" t="s">
        <v>57</v>
      </c>
      <c r="O388" t="s">
        <v>34</v>
      </c>
      <c r="Q388">
        <f t="shared" si="24"/>
        <v>1</v>
      </c>
      <c r="R388" s="3">
        <f t="shared" si="25"/>
        <v>3</v>
      </c>
      <c r="S388">
        <f t="shared" si="26"/>
        <v>0</v>
      </c>
      <c r="T388">
        <f t="shared" si="27"/>
        <v>0</v>
      </c>
    </row>
    <row r="389" spans="1:20" x14ac:dyDescent="0.25">
      <c r="A389" t="s">
        <v>455</v>
      </c>
      <c r="B389">
        <v>388</v>
      </c>
      <c r="C389" t="s">
        <v>59</v>
      </c>
      <c r="D389" t="s">
        <v>22</v>
      </c>
      <c r="E389" t="s">
        <v>60</v>
      </c>
      <c r="F389" s="2">
        <v>45832</v>
      </c>
      <c r="G389" s="2">
        <v>45833</v>
      </c>
      <c r="H389" t="s">
        <v>24</v>
      </c>
      <c r="I389" t="s">
        <v>62</v>
      </c>
      <c r="J389" s="2">
        <v>45837</v>
      </c>
      <c r="K389" s="2">
        <v>45837</v>
      </c>
      <c r="L389" t="s">
        <v>26</v>
      </c>
      <c r="M389" t="s">
        <v>57</v>
      </c>
      <c r="O389" t="s">
        <v>69</v>
      </c>
      <c r="Q389">
        <f t="shared" si="24"/>
        <v>1</v>
      </c>
      <c r="R389" s="3">
        <f t="shared" si="25"/>
        <v>5</v>
      </c>
      <c r="S389">
        <f t="shared" si="26"/>
        <v>0</v>
      </c>
      <c r="T389">
        <f t="shared" si="27"/>
        <v>0</v>
      </c>
    </row>
    <row r="390" spans="1:20" x14ac:dyDescent="0.25">
      <c r="A390" t="s">
        <v>456</v>
      </c>
      <c r="B390">
        <v>389</v>
      </c>
      <c r="C390" t="s">
        <v>36</v>
      </c>
      <c r="D390" t="s">
        <v>52</v>
      </c>
      <c r="E390" t="s">
        <v>23</v>
      </c>
      <c r="F390" s="2">
        <v>46007</v>
      </c>
      <c r="G390" s="2">
        <v>46008</v>
      </c>
      <c r="H390" t="s">
        <v>31</v>
      </c>
      <c r="I390" t="s">
        <v>54</v>
      </c>
      <c r="J390" s="2">
        <v>46011</v>
      </c>
      <c r="K390" s="2">
        <v>46011</v>
      </c>
      <c r="L390" t="s">
        <v>26</v>
      </c>
      <c r="M390" t="s">
        <v>57</v>
      </c>
      <c r="O390" t="s">
        <v>69</v>
      </c>
      <c r="P390" t="s">
        <v>71</v>
      </c>
      <c r="Q390">
        <f t="shared" si="24"/>
        <v>1</v>
      </c>
      <c r="R390" s="3">
        <f t="shared" si="25"/>
        <v>4</v>
      </c>
      <c r="S390">
        <f t="shared" si="26"/>
        <v>0</v>
      </c>
      <c r="T390">
        <f t="shared" si="27"/>
        <v>0</v>
      </c>
    </row>
    <row r="391" spans="1:20" x14ac:dyDescent="0.25">
      <c r="A391" t="s">
        <v>457</v>
      </c>
      <c r="B391">
        <v>390</v>
      </c>
      <c r="C391" t="s">
        <v>59</v>
      </c>
      <c r="D391" t="s">
        <v>64</v>
      </c>
      <c r="E391" t="s">
        <v>40</v>
      </c>
      <c r="F391" s="2">
        <v>45916</v>
      </c>
      <c r="G391" s="2">
        <v>45918</v>
      </c>
      <c r="H391" t="s">
        <v>61</v>
      </c>
      <c r="I391" t="s">
        <v>42</v>
      </c>
      <c r="J391" s="2">
        <v>45921</v>
      </c>
      <c r="K391" s="2">
        <v>45921</v>
      </c>
      <c r="L391" t="s">
        <v>26</v>
      </c>
      <c r="M391" t="s">
        <v>57</v>
      </c>
      <c r="O391" t="s">
        <v>28</v>
      </c>
      <c r="Q391">
        <f t="shared" si="24"/>
        <v>1</v>
      </c>
      <c r="R391" s="3">
        <f t="shared" si="25"/>
        <v>5</v>
      </c>
      <c r="S391">
        <f t="shared" si="26"/>
        <v>0</v>
      </c>
      <c r="T391">
        <f t="shared" si="27"/>
        <v>0</v>
      </c>
    </row>
    <row r="392" spans="1:20" x14ac:dyDescent="0.25">
      <c r="A392" t="s">
        <v>458</v>
      </c>
      <c r="B392">
        <v>391</v>
      </c>
      <c r="C392" t="s">
        <v>36</v>
      </c>
      <c r="D392" t="s">
        <v>30</v>
      </c>
      <c r="E392" t="s">
        <v>60</v>
      </c>
      <c r="F392" s="2">
        <v>45857</v>
      </c>
      <c r="G392" s="2">
        <v>45859</v>
      </c>
      <c r="H392" t="s">
        <v>24</v>
      </c>
      <c r="I392" t="s">
        <v>62</v>
      </c>
      <c r="J392" s="2">
        <v>45862</v>
      </c>
      <c r="K392" s="2">
        <v>45862</v>
      </c>
      <c r="L392" t="s">
        <v>26</v>
      </c>
      <c r="M392" t="s">
        <v>57</v>
      </c>
      <c r="O392" t="s">
        <v>69</v>
      </c>
      <c r="P392" t="s">
        <v>76</v>
      </c>
      <c r="Q392">
        <f t="shared" si="24"/>
        <v>1</v>
      </c>
      <c r="R392" s="3">
        <f t="shared" si="25"/>
        <v>5</v>
      </c>
      <c r="S392">
        <f t="shared" si="26"/>
        <v>0</v>
      </c>
      <c r="T392">
        <f t="shared" si="27"/>
        <v>0</v>
      </c>
    </row>
    <row r="393" spans="1:20" x14ac:dyDescent="0.25">
      <c r="A393" t="s">
        <v>459</v>
      </c>
      <c r="B393">
        <v>392</v>
      </c>
      <c r="C393" t="s">
        <v>59</v>
      </c>
      <c r="D393" t="s">
        <v>52</v>
      </c>
      <c r="E393" t="s">
        <v>40</v>
      </c>
      <c r="F393" s="2">
        <v>45944</v>
      </c>
      <c r="G393" s="2">
        <v>45944</v>
      </c>
      <c r="H393" t="s">
        <v>45</v>
      </c>
      <c r="I393" t="s">
        <v>85</v>
      </c>
      <c r="J393" s="2">
        <v>45945</v>
      </c>
      <c r="K393" s="2">
        <v>45945</v>
      </c>
      <c r="L393" t="s">
        <v>46</v>
      </c>
      <c r="M393" t="s">
        <v>57</v>
      </c>
      <c r="O393" t="s">
        <v>81</v>
      </c>
      <c r="Q393">
        <f t="shared" si="24"/>
        <v>1</v>
      </c>
      <c r="R393" s="3">
        <f t="shared" si="25"/>
        <v>1</v>
      </c>
      <c r="S393">
        <f t="shared" si="26"/>
        <v>0</v>
      </c>
      <c r="T393">
        <f t="shared" si="27"/>
        <v>1</v>
      </c>
    </row>
    <row r="394" spans="1:20" x14ac:dyDescent="0.25">
      <c r="A394" t="s">
        <v>460</v>
      </c>
      <c r="B394">
        <v>393</v>
      </c>
      <c r="C394" t="s">
        <v>51</v>
      </c>
      <c r="D394" t="s">
        <v>64</v>
      </c>
      <c r="E394" t="s">
        <v>53</v>
      </c>
      <c r="F394" s="2">
        <v>45861</v>
      </c>
      <c r="G394" s="2">
        <v>45863</v>
      </c>
      <c r="H394" t="s">
        <v>24</v>
      </c>
      <c r="I394" t="s">
        <v>25</v>
      </c>
      <c r="J394" s="2">
        <v>45864</v>
      </c>
      <c r="K394" s="2">
        <v>45868</v>
      </c>
      <c r="L394" t="s">
        <v>46</v>
      </c>
      <c r="M394" t="s">
        <v>32</v>
      </c>
      <c r="N394" t="s">
        <v>49</v>
      </c>
      <c r="O394" t="s">
        <v>37</v>
      </c>
      <c r="Q394">
        <f t="shared" si="24"/>
        <v>0</v>
      </c>
      <c r="R394" s="3">
        <f t="shared" si="25"/>
        <v>3</v>
      </c>
      <c r="S394">
        <f t="shared" si="26"/>
        <v>1</v>
      </c>
      <c r="T394">
        <f t="shared" si="27"/>
        <v>1</v>
      </c>
    </row>
    <row r="395" spans="1:20" x14ac:dyDescent="0.25">
      <c r="A395" t="s">
        <v>461</v>
      </c>
      <c r="B395">
        <v>394</v>
      </c>
      <c r="C395" t="s">
        <v>21</v>
      </c>
      <c r="D395" t="s">
        <v>52</v>
      </c>
      <c r="E395" t="s">
        <v>23</v>
      </c>
      <c r="F395" s="2">
        <v>45957</v>
      </c>
      <c r="G395" s="2">
        <v>45957</v>
      </c>
      <c r="H395" t="s">
        <v>61</v>
      </c>
      <c r="I395" t="s">
        <v>83</v>
      </c>
      <c r="J395" s="2">
        <v>45959</v>
      </c>
      <c r="K395" s="2">
        <v>45959</v>
      </c>
      <c r="L395" t="s">
        <v>26</v>
      </c>
      <c r="M395" t="s">
        <v>57</v>
      </c>
      <c r="O395" t="s">
        <v>43</v>
      </c>
      <c r="P395" t="s">
        <v>76</v>
      </c>
      <c r="Q395">
        <f t="shared" si="24"/>
        <v>1</v>
      </c>
      <c r="R395" s="3">
        <f t="shared" si="25"/>
        <v>2</v>
      </c>
      <c r="S395">
        <f t="shared" si="26"/>
        <v>0</v>
      </c>
      <c r="T395">
        <f t="shared" si="27"/>
        <v>0</v>
      </c>
    </row>
    <row r="396" spans="1:20" x14ac:dyDescent="0.25">
      <c r="A396" t="s">
        <v>462</v>
      </c>
      <c r="B396">
        <v>395</v>
      </c>
      <c r="C396" t="s">
        <v>78</v>
      </c>
      <c r="D396" t="s">
        <v>30</v>
      </c>
      <c r="E396" t="s">
        <v>40</v>
      </c>
      <c r="F396" s="2">
        <v>45780</v>
      </c>
      <c r="G396" s="2">
        <v>45782</v>
      </c>
      <c r="H396" t="s">
        <v>61</v>
      </c>
      <c r="I396" t="s">
        <v>54</v>
      </c>
      <c r="J396" s="2">
        <v>45784</v>
      </c>
      <c r="K396" s="2">
        <v>45784</v>
      </c>
      <c r="L396" t="s">
        <v>46</v>
      </c>
      <c r="M396" t="s">
        <v>27</v>
      </c>
      <c r="O396" t="s">
        <v>43</v>
      </c>
      <c r="P396" t="s">
        <v>93</v>
      </c>
      <c r="Q396">
        <f t="shared" si="24"/>
        <v>1</v>
      </c>
      <c r="R396" s="3">
        <f t="shared" si="25"/>
        <v>4</v>
      </c>
      <c r="S396">
        <f t="shared" si="26"/>
        <v>0</v>
      </c>
      <c r="T396">
        <f t="shared" si="27"/>
        <v>1</v>
      </c>
    </row>
    <row r="397" spans="1:20" x14ac:dyDescent="0.25">
      <c r="A397" t="s">
        <v>463</v>
      </c>
      <c r="B397">
        <v>396</v>
      </c>
      <c r="C397" t="s">
        <v>36</v>
      </c>
      <c r="D397" t="s">
        <v>22</v>
      </c>
      <c r="E397" t="s">
        <v>53</v>
      </c>
      <c r="F397" s="2">
        <v>45997</v>
      </c>
      <c r="G397" s="2">
        <v>45998</v>
      </c>
      <c r="H397" t="s">
        <v>31</v>
      </c>
      <c r="I397" t="s">
        <v>62</v>
      </c>
      <c r="J397" s="2">
        <v>46002</v>
      </c>
      <c r="K397" s="2">
        <v>46004</v>
      </c>
      <c r="L397" t="s">
        <v>26</v>
      </c>
      <c r="M397" t="s">
        <v>32</v>
      </c>
      <c r="N397" t="s">
        <v>264</v>
      </c>
      <c r="O397" t="s">
        <v>81</v>
      </c>
      <c r="P397" t="s">
        <v>71</v>
      </c>
      <c r="Q397">
        <f t="shared" si="24"/>
        <v>0</v>
      </c>
      <c r="R397" s="3">
        <f t="shared" si="25"/>
        <v>5</v>
      </c>
      <c r="S397">
        <f t="shared" si="26"/>
        <v>1</v>
      </c>
      <c r="T397">
        <f t="shared" si="27"/>
        <v>0</v>
      </c>
    </row>
    <row r="398" spans="1:20" x14ac:dyDescent="0.25">
      <c r="A398" t="s">
        <v>464</v>
      </c>
      <c r="B398">
        <v>397</v>
      </c>
      <c r="C398" t="s">
        <v>78</v>
      </c>
      <c r="D398" t="s">
        <v>22</v>
      </c>
      <c r="E398" t="s">
        <v>56</v>
      </c>
      <c r="F398" s="2">
        <v>45879</v>
      </c>
      <c r="G398" s="2">
        <v>45881</v>
      </c>
      <c r="H398" t="s">
        <v>41</v>
      </c>
      <c r="I398" t="s">
        <v>25</v>
      </c>
      <c r="J398" s="2">
        <v>45887</v>
      </c>
      <c r="K398" s="2">
        <v>45887</v>
      </c>
      <c r="L398" t="s">
        <v>26</v>
      </c>
      <c r="M398" t="s">
        <v>27</v>
      </c>
      <c r="O398" t="s">
        <v>28</v>
      </c>
      <c r="P398" t="s">
        <v>71</v>
      </c>
      <c r="Q398">
        <f t="shared" si="24"/>
        <v>1</v>
      </c>
      <c r="R398" s="3">
        <f t="shared" si="25"/>
        <v>8</v>
      </c>
      <c r="S398">
        <f t="shared" si="26"/>
        <v>0</v>
      </c>
      <c r="T398">
        <f t="shared" si="27"/>
        <v>0</v>
      </c>
    </row>
    <row r="399" spans="1:20" x14ac:dyDescent="0.25">
      <c r="A399" t="s">
        <v>465</v>
      </c>
      <c r="B399">
        <v>398</v>
      </c>
      <c r="C399" t="s">
        <v>36</v>
      </c>
      <c r="D399" t="s">
        <v>39</v>
      </c>
      <c r="E399" t="s">
        <v>56</v>
      </c>
      <c r="F399" s="2">
        <v>45774</v>
      </c>
      <c r="G399" s="2">
        <v>45775</v>
      </c>
      <c r="H399" t="s">
        <v>41</v>
      </c>
      <c r="I399" t="s">
        <v>42</v>
      </c>
      <c r="J399" s="2">
        <v>45776</v>
      </c>
      <c r="K399" s="2">
        <v>45776</v>
      </c>
      <c r="L399" t="s">
        <v>46</v>
      </c>
      <c r="M399" t="s">
        <v>27</v>
      </c>
      <c r="O399" t="s">
        <v>34</v>
      </c>
      <c r="Q399">
        <f t="shared" si="24"/>
        <v>1</v>
      </c>
      <c r="R399" s="3">
        <f t="shared" si="25"/>
        <v>2</v>
      </c>
      <c r="S399">
        <f t="shared" si="26"/>
        <v>0</v>
      </c>
      <c r="T399">
        <f t="shared" si="27"/>
        <v>1</v>
      </c>
    </row>
    <row r="400" spans="1:20" x14ac:dyDescent="0.25">
      <c r="A400" t="s">
        <v>466</v>
      </c>
      <c r="B400">
        <v>399</v>
      </c>
      <c r="C400" t="s">
        <v>21</v>
      </c>
      <c r="D400" t="s">
        <v>22</v>
      </c>
      <c r="E400" t="s">
        <v>53</v>
      </c>
      <c r="F400" s="2">
        <v>45855</v>
      </c>
      <c r="G400" s="2">
        <v>45855</v>
      </c>
      <c r="H400" t="s">
        <v>45</v>
      </c>
      <c r="I400" t="s">
        <v>85</v>
      </c>
      <c r="J400" s="2">
        <v>45856</v>
      </c>
      <c r="K400" s="2">
        <v>45856</v>
      </c>
      <c r="L400" t="s">
        <v>26</v>
      </c>
      <c r="M400" t="s">
        <v>57</v>
      </c>
      <c r="O400" t="s">
        <v>43</v>
      </c>
      <c r="Q400">
        <f t="shared" si="24"/>
        <v>1</v>
      </c>
      <c r="R400" s="3">
        <f t="shared" si="25"/>
        <v>1</v>
      </c>
      <c r="S400">
        <f t="shared" si="26"/>
        <v>0</v>
      </c>
      <c r="T400">
        <f t="shared" si="27"/>
        <v>0</v>
      </c>
    </row>
    <row r="401" spans="1:20" x14ac:dyDescent="0.25">
      <c r="A401" t="s">
        <v>467</v>
      </c>
      <c r="B401">
        <v>400</v>
      </c>
      <c r="C401" t="s">
        <v>78</v>
      </c>
      <c r="D401" t="s">
        <v>39</v>
      </c>
      <c r="E401" t="s">
        <v>56</v>
      </c>
      <c r="F401" s="2">
        <v>46008</v>
      </c>
      <c r="G401" s="2">
        <v>46009</v>
      </c>
      <c r="H401" t="s">
        <v>24</v>
      </c>
      <c r="I401" t="s">
        <v>83</v>
      </c>
      <c r="J401" s="2">
        <v>46011</v>
      </c>
      <c r="K401" s="2">
        <v>46011</v>
      </c>
      <c r="L401" t="s">
        <v>26</v>
      </c>
      <c r="M401" t="s">
        <v>27</v>
      </c>
      <c r="O401" t="s">
        <v>37</v>
      </c>
      <c r="P401" t="s">
        <v>71</v>
      </c>
      <c r="Q401">
        <f t="shared" si="24"/>
        <v>1</v>
      </c>
      <c r="R401" s="3">
        <f t="shared" si="25"/>
        <v>3</v>
      </c>
      <c r="S401">
        <f t="shared" si="26"/>
        <v>0</v>
      </c>
      <c r="T401">
        <f t="shared" si="27"/>
        <v>0</v>
      </c>
    </row>
    <row r="402" spans="1:20" x14ac:dyDescent="0.25">
      <c r="A402" t="s">
        <v>468</v>
      </c>
      <c r="B402">
        <v>401</v>
      </c>
      <c r="C402" t="s">
        <v>36</v>
      </c>
      <c r="D402" t="s">
        <v>52</v>
      </c>
      <c r="E402" t="s">
        <v>53</v>
      </c>
      <c r="F402" s="2">
        <v>45988</v>
      </c>
      <c r="G402" s="2">
        <v>45990</v>
      </c>
      <c r="H402" t="s">
        <v>45</v>
      </c>
      <c r="I402" t="s">
        <v>83</v>
      </c>
      <c r="J402" s="2">
        <v>45996</v>
      </c>
      <c r="K402" s="2">
        <v>45996</v>
      </c>
      <c r="L402" t="s">
        <v>26</v>
      </c>
      <c r="M402" t="s">
        <v>27</v>
      </c>
      <c r="O402" t="s">
        <v>69</v>
      </c>
      <c r="Q402">
        <f t="shared" si="24"/>
        <v>1</v>
      </c>
      <c r="R402" s="3">
        <f t="shared" si="25"/>
        <v>8</v>
      </c>
      <c r="S402">
        <f t="shared" si="26"/>
        <v>0</v>
      </c>
      <c r="T402">
        <f t="shared" si="27"/>
        <v>0</v>
      </c>
    </row>
    <row r="403" spans="1:20" x14ac:dyDescent="0.25">
      <c r="A403" t="s">
        <v>469</v>
      </c>
      <c r="B403">
        <v>402</v>
      </c>
      <c r="C403" t="s">
        <v>59</v>
      </c>
      <c r="D403" t="s">
        <v>39</v>
      </c>
      <c r="E403" t="s">
        <v>23</v>
      </c>
      <c r="F403" s="2">
        <v>45852</v>
      </c>
      <c r="G403" s="2">
        <v>45853</v>
      </c>
      <c r="H403" t="s">
        <v>61</v>
      </c>
      <c r="I403" t="s">
        <v>73</v>
      </c>
      <c r="J403" s="2">
        <v>45856</v>
      </c>
      <c r="K403" s="2">
        <v>45860</v>
      </c>
      <c r="L403" t="s">
        <v>26</v>
      </c>
      <c r="M403" t="s">
        <v>32</v>
      </c>
      <c r="N403" t="s">
        <v>33</v>
      </c>
      <c r="O403" t="s">
        <v>34</v>
      </c>
      <c r="Q403">
        <f t="shared" si="24"/>
        <v>0</v>
      </c>
      <c r="R403" s="3">
        <f t="shared" si="25"/>
        <v>4</v>
      </c>
      <c r="S403">
        <f t="shared" si="26"/>
        <v>1</v>
      </c>
      <c r="T403">
        <f t="shared" si="27"/>
        <v>0</v>
      </c>
    </row>
    <row r="404" spans="1:20" x14ac:dyDescent="0.25">
      <c r="A404" t="s">
        <v>470</v>
      </c>
      <c r="B404">
        <v>403</v>
      </c>
      <c r="C404" t="s">
        <v>51</v>
      </c>
      <c r="D404" t="s">
        <v>30</v>
      </c>
      <c r="E404" t="s">
        <v>56</v>
      </c>
      <c r="F404" s="2">
        <v>45820</v>
      </c>
      <c r="G404" s="2">
        <v>45821</v>
      </c>
      <c r="H404" t="s">
        <v>41</v>
      </c>
      <c r="I404" t="s">
        <v>73</v>
      </c>
      <c r="J404" s="2">
        <v>45824</v>
      </c>
      <c r="K404" s="2">
        <v>45825</v>
      </c>
      <c r="L404" t="s">
        <v>26</v>
      </c>
      <c r="M404" t="s">
        <v>32</v>
      </c>
      <c r="N404" t="s">
        <v>33</v>
      </c>
      <c r="O404" t="s">
        <v>34</v>
      </c>
      <c r="Q404">
        <f t="shared" si="24"/>
        <v>0</v>
      </c>
      <c r="R404" s="3">
        <f t="shared" si="25"/>
        <v>4</v>
      </c>
      <c r="S404">
        <f t="shared" si="26"/>
        <v>1</v>
      </c>
      <c r="T404">
        <f t="shared" si="27"/>
        <v>0</v>
      </c>
    </row>
    <row r="405" spans="1:20" x14ac:dyDescent="0.25">
      <c r="A405" t="s">
        <v>471</v>
      </c>
      <c r="B405">
        <v>404</v>
      </c>
      <c r="C405" t="s">
        <v>21</v>
      </c>
      <c r="D405" t="s">
        <v>52</v>
      </c>
      <c r="E405" t="s">
        <v>23</v>
      </c>
      <c r="F405" s="2">
        <v>45817</v>
      </c>
      <c r="G405" s="2">
        <v>45819</v>
      </c>
      <c r="H405" t="s">
        <v>41</v>
      </c>
      <c r="I405" t="s">
        <v>25</v>
      </c>
      <c r="J405" s="2">
        <v>45823</v>
      </c>
      <c r="K405" s="2">
        <v>45823</v>
      </c>
      <c r="L405" t="s">
        <v>26</v>
      </c>
      <c r="M405" t="s">
        <v>57</v>
      </c>
      <c r="O405" t="s">
        <v>34</v>
      </c>
      <c r="Q405">
        <f t="shared" si="24"/>
        <v>1</v>
      </c>
      <c r="R405" s="3">
        <f t="shared" si="25"/>
        <v>6</v>
      </c>
      <c r="S405">
        <f t="shared" si="26"/>
        <v>0</v>
      </c>
      <c r="T405">
        <f t="shared" si="27"/>
        <v>0</v>
      </c>
    </row>
    <row r="406" spans="1:20" x14ac:dyDescent="0.25">
      <c r="A406" t="s">
        <v>472</v>
      </c>
      <c r="B406">
        <v>405</v>
      </c>
      <c r="C406" t="s">
        <v>59</v>
      </c>
      <c r="D406" t="s">
        <v>39</v>
      </c>
      <c r="E406" t="s">
        <v>23</v>
      </c>
      <c r="F406" s="2">
        <v>46013</v>
      </c>
      <c r="G406" s="2">
        <v>46015</v>
      </c>
      <c r="H406" t="s">
        <v>45</v>
      </c>
      <c r="I406" t="s">
        <v>85</v>
      </c>
      <c r="J406" s="2">
        <v>46017</v>
      </c>
      <c r="K406" s="2">
        <v>46017</v>
      </c>
      <c r="L406" t="s">
        <v>26</v>
      </c>
      <c r="M406" t="s">
        <v>27</v>
      </c>
      <c r="O406" t="s">
        <v>43</v>
      </c>
      <c r="Q406">
        <f t="shared" si="24"/>
        <v>1</v>
      </c>
      <c r="R406" s="3">
        <f t="shared" si="25"/>
        <v>4</v>
      </c>
      <c r="S406">
        <f t="shared" si="26"/>
        <v>0</v>
      </c>
      <c r="T406">
        <f t="shared" si="27"/>
        <v>0</v>
      </c>
    </row>
    <row r="407" spans="1:20" x14ac:dyDescent="0.25">
      <c r="A407" t="s">
        <v>473</v>
      </c>
      <c r="B407">
        <v>406</v>
      </c>
      <c r="C407" t="s">
        <v>78</v>
      </c>
      <c r="D407" t="s">
        <v>52</v>
      </c>
      <c r="E407" t="s">
        <v>56</v>
      </c>
      <c r="F407" s="2">
        <v>45711</v>
      </c>
      <c r="G407" s="2">
        <v>45712</v>
      </c>
      <c r="H407" t="s">
        <v>61</v>
      </c>
      <c r="I407" t="s">
        <v>83</v>
      </c>
      <c r="J407" s="2">
        <v>45715</v>
      </c>
      <c r="K407" s="2">
        <v>45719</v>
      </c>
      <c r="L407" t="s">
        <v>26</v>
      </c>
      <c r="M407" t="s">
        <v>32</v>
      </c>
      <c r="N407" t="s">
        <v>47</v>
      </c>
      <c r="O407" t="s">
        <v>81</v>
      </c>
      <c r="Q407">
        <f t="shared" si="24"/>
        <v>0</v>
      </c>
      <c r="R407" s="3">
        <f t="shared" si="25"/>
        <v>4</v>
      </c>
      <c r="S407">
        <f t="shared" si="26"/>
        <v>1</v>
      </c>
      <c r="T407">
        <f t="shared" si="27"/>
        <v>0</v>
      </c>
    </row>
    <row r="408" spans="1:20" x14ac:dyDescent="0.25">
      <c r="A408" t="s">
        <v>474</v>
      </c>
      <c r="B408">
        <v>407</v>
      </c>
      <c r="C408" t="s">
        <v>78</v>
      </c>
      <c r="D408" t="s">
        <v>22</v>
      </c>
      <c r="E408" t="s">
        <v>60</v>
      </c>
      <c r="F408" s="2">
        <v>46019</v>
      </c>
      <c r="G408" s="2">
        <v>46020</v>
      </c>
      <c r="H408" t="s">
        <v>45</v>
      </c>
      <c r="I408" t="s">
        <v>62</v>
      </c>
      <c r="J408" s="2">
        <v>46025</v>
      </c>
      <c r="K408" s="2">
        <v>46025</v>
      </c>
      <c r="L408" t="s">
        <v>46</v>
      </c>
      <c r="M408" t="s">
        <v>27</v>
      </c>
      <c r="O408" t="s">
        <v>28</v>
      </c>
      <c r="Q408">
        <f t="shared" si="24"/>
        <v>1</v>
      </c>
      <c r="R408" s="3">
        <f t="shared" si="25"/>
        <v>6</v>
      </c>
      <c r="S408">
        <f t="shared" si="26"/>
        <v>0</v>
      </c>
      <c r="T408">
        <f t="shared" si="27"/>
        <v>1</v>
      </c>
    </row>
    <row r="409" spans="1:20" x14ac:dyDescent="0.25">
      <c r="A409" t="s">
        <v>475</v>
      </c>
      <c r="B409">
        <v>408</v>
      </c>
      <c r="C409" t="s">
        <v>51</v>
      </c>
      <c r="D409" t="s">
        <v>64</v>
      </c>
      <c r="E409" t="s">
        <v>60</v>
      </c>
      <c r="F409" s="2">
        <v>45985</v>
      </c>
      <c r="G409" s="2">
        <v>45987</v>
      </c>
      <c r="H409" t="s">
        <v>24</v>
      </c>
      <c r="I409" t="s">
        <v>25</v>
      </c>
      <c r="J409" s="2">
        <v>45992</v>
      </c>
      <c r="K409" s="2">
        <v>45992</v>
      </c>
      <c r="L409" t="s">
        <v>26</v>
      </c>
      <c r="M409" t="s">
        <v>57</v>
      </c>
      <c r="O409" t="s">
        <v>81</v>
      </c>
      <c r="Q409">
        <f t="shared" si="24"/>
        <v>1</v>
      </c>
      <c r="R409" s="3">
        <f t="shared" si="25"/>
        <v>7</v>
      </c>
      <c r="S409">
        <f t="shared" si="26"/>
        <v>0</v>
      </c>
      <c r="T409">
        <f t="shared" si="27"/>
        <v>0</v>
      </c>
    </row>
    <row r="410" spans="1:20" x14ac:dyDescent="0.25">
      <c r="A410" t="s">
        <v>476</v>
      </c>
      <c r="B410">
        <v>409</v>
      </c>
      <c r="C410" t="s">
        <v>78</v>
      </c>
      <c r="D410" t="s">
        <v>22</v>
      </c>
      <c r="E410" t="s">
        <v>56</v>
      </c>
      <c r="F410" s="2">
        <v>45755</v>
      </c>
      <c r="G410" s="2">
        <v>45757</v>
      </c>
      <c r="H410" t="s">
        <v>41</v>
      </c>
      <c r="I410" t="s">
        <v>73</v>
      </c>
      <c r="J410" s="2">
        <v>45759</v>
      </c>
      <c r="K410" s="2">
        <v>45759</v>
      </c>
      <c r="L410" t="s">
        <v>26</v>
      </c>
      <c r="M410" t="s">
        <v>57</v>
      </c>
      <c r="O410" t="s">
        <v>69</v>
      </c>
      <c r="Q410">
        <f t="shared" si="24"/>
        <v>1</v>
      </c>
      <c r="R410" s="3">
        <f t="shared" si="25"/>
        <v>4</v>
      </c>
      <c r="S410">
        <f t="shared" si="26"/>
        <v>0</v>
      </c>
      <c r="T410">
        <f t="shared" si="27"/>
        <v>0</v>
      </c>
    </row>
    <row r="411" spans="1:20" x14ac:dyDescent="0.25">
      <c r="A411" t="s">
        <v>477</v>
      </c>
      <c r="B411">
        <v>410</v>
      </c>
      <c r="C411" t="s">
        <v>59</v>
      </c>
      <c r="D411" t="s">
        <v>39</v>
      </c>
      <c r="E411" t="s">
        <v>56</v>
      </c>
      <c r="F411" s="2">
        <v>45833</v>
      </c>
      <c r="G411" s="2">
        <v>45834</v>
      </c>
      <c r="H411" t="s">
        <v>31</v>
      </c>
      <c r="I411" t="s">
        <v>42</v>
      </c>
      <c r="J411" s="2">
        <v>45836</v>
      </c>
      <c r="K411" s="2">
        <v>45836</v>
      </c>
      <c r="L411" t="s">
        <v>26</v>
      </c>
      <c r="M411" t="s">
        <v>27</v>
      </c>
      <c r="O411" t="s">
        <v>43</v>
      </c>
      <c r="Q411">
        <f t="shared" si="24"/>
        <v>1</v>
      </c>
      <c r="R411" s="3">
        <f t="shared" si="25"/>
        <v>3</v>
      </c>
      <c r="S411">
        <f t="shared" si="26"/>
        <v>0</v>
      </c>
      <c r="T411">
        <f t="shared" si="27"/>
        <v>0</v>
      </c>
    </row>
    <row r="412" spans="1:20" x14ac:dyDescent="0.25">
      <c r="A412" t="s">
        <v>478</v>
      </c>
      <c r="B412">
        <v>411</v>
      </c>
      <c r="C412" t="s">
        <v>78</v>
      </c>
      <c r="D412" t="s">
        <v>30</v>
      </c>
      <c r="E412" t="s">
        <v>53</v>
      </c>
      <c r="F412" s="2">
        <v>45876</v>
      </c>
      <c r="G412" s="2">
        <v>45878</v>
      </c>
      <c r="H412" t="s">
        <v>45</v>
      </c>
      <c r="I412" t="s">
        <v>85</v>
      </c>
      <c r="J412" s="2">
        <v>45881</v>
      </c>
      <c r="K412" s="2">
        <v>45881</v>
      </c>
      <c r="L412" t="s">
        <v>46</v>
      </c>
      <c r="M412" t="s">
        <v>27</v>
      </c>
      <c r="O412" t="s">
        <v>43</v>
      </c>
      <c r="Q412">
        <f t="shared" si="24"/>
        <v>1</v>
      </c>
      <c r="R412" s="3">
        <f t="shared" si="25"/>
        <v>5</v>
      </c>
      <c r="S412">
        <f t="shared" si="26"/>
        <v>0</v>
      </c>
      <c r="T412">
        <f t="shared" si="27"/>
        <v>1</v>
      </c>
    </row>
    <row r="413" spans="1:20" x14ac:dyDescent="0.25">
      <c r="A413" t="s">
        <v>479</v>
      </c>
      <c r="B413">
        <v>412</v>
      </c>
      <c r="C413" t="s">
        <v>78</v>
      </c>
      <c r="D413" t="s">
        <v>39</v>
      </c>
      <c r="E413" t="s">
        <v>40</v>
      </c>
      <c r="F413" s="2">
        <v>45985</v>
      </c>
      <c r="G413" s="2">
        <v>45987</v>
      </c>
      <c r="H413" t="s">
        <v>45</v>
      </c>
      <c r="I413" t="s">
        <v>42</v>
      </c>
      <c r="J413" s="2">
        <v>45990</v>
      </c>
      <c r="K413" s="2">
        <v>45990</v>
      </c>
      <c r="L413" t="s">
        <v>26</v>
      </c>
      <c r="M413" t="s">
        <v>57</v>
      </c>
      <c r="O413" t="s">
        <v>43</v>
      </c>
      <c r="Q413">
        <f t="shared" si="24"/>
        <v>1</v>
      </c>
      <c r="R413" s="3">
        <f t="shared" si="25"/>
        <v>5</v>
      </c>
      <c r="S413">
        <f t="shared" si="26"/>
        <v>0</v>
      </c>
      <c r="T413">
        <f t="shared" si="27"/>
        <v>0</v>
      </c>
    </row>
    <row r="414" spans="1:20" x14ac:dyDescent="0.25">
      <c r="A414" t="s">
        <v>480</v>
      </c>
      <c r="B414">
        <v>413</v>
      </c>
      <c r="C414" t="s">
        <v>59</v>
      </c>
      <c r="D414" t="s">
        <v>30</v>
      </c>
      <c r="E414" t="s">
        <v>56</v>
      </c>
      <c r="F414" s="2">
        <v>46001</v>
      </c>
      <c r="G414" s="2">
        <v>46001</v>
      </c>
      <c r="H414" t="s">
        <v>45</v>
      </c>
      <c r="I414" t="s">
        <v>42</v>
      </c>
      <c r="J414" s="2">
        <v>46005</v>
      </c>
      <c r="K414" s="2">
        <v>46006</v>
      </c>
      <c r="L414" t="s">
        <v>26</v>
      </c>
      <c r="M414" t="s">
        <v>57</v>
      </c>
      <c r="O414" t="s">
        <v>81</v>
      </c>
      <c r="Q414">
        <f t="shared" si="24"/>
        <v>0</v>
      </c>
      <c r="R414" s="3">
        <f t="shared" si="25"/>
        <v>4</v>
      </c>
      <c r="S414">
        <f t="shared" si="26"/>
        <v>0</v>
      </c>
      <c r="T414">
        <f t="shared" si="27"/>
        <v>0</v>
      </c>
    </row>
    <row r="415" spans="1:20" x14ac:dyDescent="0.25">
      <c r="A415" t="s">
        <v>481</v>
      </c>
      <c r="B415">
        <v>414</v>
      </c>
      <c r="C415" t="s">
        <v>36</v>
      </c>
      <c r="D415" t="s">
        <v>52</v>
      </c>
      <c r="E415" t="s">
        <v>60</v>
      </c>
      <c r="F415" s="2">
        <v>46005</v>
      </c>
      <c r="G415" s="2">
        <v>46006</v>
      </c>
      <c r="H415" t="s">
        <v>61</v>
      </c>
      <c r="I415" t="s">
        <v>42</v>
      </c>
      <c r="J415" s="2">
        <v>46008</v>
      </c>
      <c r="K415" s="2">
        <v>46010</v>
      </c>
      <c r="L415" t="s">
        <v>26</v>
      </c>
      <c r="M415" t="s">
        <v>32</v>
      </c>
      <c r="N415" t="s">
        <v>49</v>
      </c>
      <c r="O415" t="s">
        <v>43</v>
      </c>
      <c r="Q415">
        <f t="shared" si="24"/>
        <v>0</v>
      </c>
      <c r="R415" s="3">
        <f t="shared" si="25"/>
        <v>3</v>
      </c>
      <c r="S415">
        <f t="shared" si="26"/>
        <v>1</v>
      </c>
      <c r="T415">
        <f t="shared" si="27"/>
        <v>0</v>
      </c>
    </row>
    <row r="416" spans="1:20" x14ac:dyDescent="0.25">
      <c r="A416" t="s">
        <v>482</v>
      </c>
      <c r="B416">
        <v>415</v>
      </c>
      <c r="C416" t="s">
        <v>59</v>
      </c>
      <c r="D416" t="s">
        <v>64</v>
      </c>
      <c r="E416" t="s">
        <v>23</v>
      </c>
      <c r="F416" s="2">
        <v>45779</v>
      </c>
      <c r="G416" s="2">
        <v>45780</v>
      </c>
      <c r="H416" t="s">
        <v>45</v>
      </c>
      <c r="I416" t="s">
        <v>42</v>
      </c>
      <c r="J416" s="2">
        <v>45782</v>
      </c>
      <c r="K416" s="2">
        <v>45782</v>
      </c>
      <c r="L416" t="s">
        <v>26</v>
      </c>
      <c r="M416" t="s">
        <v>57</v>
      </c>
      <c r="O416" t="s">
        <v>34</v>
      </c>
      <c r="Q416">
        <f t="shared" si="24"/>
        <v>1</v>
      </c>
      <c r="R416" s="3">
        <f t="shared" si="25"/>
        <v>3</v>
      </c>
      <c r="S416">
        <f t="shared" si="26"/>
        <v>0</v>
      </c>
      <c r="T416">
        <f t="shared" si="27"/>
        <v>0</v>
      </c>
    </row>
    <row r="417" spans="1:20" x14ac:dyDescent="0.25">
      <c r="A417" t="s">
        <v>483</v>
      </c>
      <c r="B417">
        <v>416</v>
      </c>
      <c r="C417" t="s">
        <v>36</v>
      </c>
      <c r="D417" t="s">
        <v>52</v>
      </c>
      <c r="E417" t="s">
        <v>60</v>
      </c>
      <c r="F417" s="2">
        <v>45742</v>
      </c>
      <c r="G417" s="2">
        <v>45742</v>
      </c>
      <c r="H417" t="s">
        <v>45</v>
      </c>
      <c r="I417" t="s">
        <v>25</v>
      </c>
      <c r="J417" s="2">
        <v>45746</v>
      </c>
      <c r="K417" s="2">
        <v>45746</v>
      </c>
      <c r="L417" t="s">
        <v>26</v>
      </c>
      <c r="M417" t="s">
        <v>27</v>
      </c>
      <c r="O417" t="s">
        <v>37</v>
      </c>
      <c r="Q417">
        <f t="shared" si="24"/>
        <v>1</v>
      </c>
      <c r="R417" s="3">
        <f t="shared" si="25"/>
        <v>4</v>
      </c>
      <c r="S417">
        <f t="shared" si="26"/>
        <v>0</v>
      </c>
      <c r="T417">
        <f t="shared" si="27"/>
        <v>0</v>
      </c>
    </row>
    <row r="418" spans="1:20" x14ac:dyDescent="0.25">
      <c r="A418" t="s">
        <v>484</v>
      </c>
      <c r="B418">
        <v>417</v>
      </c>
      <c r="C418" t="s">
        <v>36</v>
      </c>
      <c r="D418" t="s">
        <v>30</v>
      </c>
      <c r="E418" t="s">
        <v>40</v>
      </c>
      <c r="F418" s="2">
        <v>45842</v>
      </c>
      <c r="G418" s="2">
        <v>45842</v>
      </c>
      <c r="H418" t="s">
        <v>31</v>
      </c>
      <c r="I418" t="s">
        <v>42</v>
      </c>
      <c r="J418" s="2">
        <v>45845</v>
      </c>
      <c r="K418" s="2">
        <v>45848</v>
      </c>
      <c r="L418" t="s">
        <v>26</v>
      </c>
      <c r="M418" t="s">
        <v>32</v>
      </c>
      <c r="N418" t="s">
        <v>33</v>
      </c>
      <c r="O418" t="s">
        <v>28</v>
      </c>
      <c r="Q418">
        <f t="shared" si="24"/>
        <v>0</v>
      </c>
      <c r="R418" s="3">
        <f t="shared" si="25"/>
        <v>3</v>
      </c>
      <c r="S418">
        <f t="shared" si="26"/>
        <v>1</v>
      </c>
      <c r="T418">
        <f t="shared" si="27"/>
        <v>0</v>
      </c>
    </row>
    <row r="419" spans="1:20" x14ac:dyDescent="0.25">
      <c r="A419" t="s">
        <v>485</v>
      </c>
      <c r="B419">
        <v>418</v>
      </c>
      <c r="C419" t="s">
        <v>36</v>
      </c>
      <c r="D419" t="s">
        <v>30</v>
      </c>
      <c r="E419" t="s">
        <v>60</v>
      </c>
      <c r="F419" s="2">
        <v>45876</v>
      </c>
      <c r="G419" s="2">
        <v>45877</v>
      </c>
      <c r="H419" t="s">
        <v>45</v>
      </c>
      <c r="I419" t="s">
        <v>42</v>
      </c>
      <c r="J419" s="2">
        <v>45881</v>
      </c>
      <c r="K419" s="2">
        <v>45881</v>
      </c>
      <c r="L419" t="s">
        <v>26</v>
      </c>
      <c r="M419" t="s">
        <v>57</v>
      </c>
      <c r="O419" t="s">
        <v>34</v>
      </c>
      <c r="Q419">
        <f t="shared" si="24"/>
        <v>1</v>
      </c>
      <c r="R419" s="3">
        <f t="shared" si="25"/>
        <v>5</v>
      </c>
      <c r="S419">
        <f t="shared" si="26"/>
        <v>0</v>
      </c>
      <c r="T419">
        <f t="shared" si="27"/>
        <v>0</v>
      </c>
    </row>
    <row r="420" spans="1:20" x14ac:dyDescent="0.25">
      <c r="A420" t="s">
        <v>486</v>
      </c>
      <c r="B420">
        <v>419</v>
      </c>
      <c r="C420" t="s">
        <v>36</v>
      </c>
      <c r="D420" t="s">
        <v>22</v>
      </c>
      <c r="E420" t="s">
        <v>56</v>
      </c>
      <c r="F420" s="2">
        <v>45902</v>
      </c>
      <c r="G420" s="2">
        <v>45904</v>
      </c>
      <c r="H420" t="s">
        <v>41</v>
      </c>
      <c r="I420" t="s">
        <v>83</v>
      </c>
      <c r="J420" s="2">
        <v>45908</v>
      </c>
      <c r="K420" s="2">
        <v>45908</v>
      </c>
      <c r="L420" t="s">
        <v>26</v>
      </c>
      <c r="M420" t="s">
        <v>57</v>
      </c>
      <c r="O420" t="s">
        <v>28</v>
      </c>
      <c r="P420" t="s">
        <v>93</v>
      </c>
      <c r="Q420">
        <f t="shared" si="24"/>
        <v>1</v>
      </c>
      <c r="R420" s="3">
        <f t="shared" si="25"/>
        <v>6</v>
      </c>
      <c r="S420">
        <f t="shared" si="26"/>
        <v>0</v>
      </c>
      <c r="T420">
        <f t="shared" si="27"/>
        <v>0</v>
      </c>
    </row>
    <row r="421" spans="1:20" x14ac:dyDescent="0.25">
      <c r="A421" t="s">
        <v>487</v>
      </c>
      <c r="B421">
        <v>420</v>
      </c>
      <c r="C421" t="s">
        <v>51</v>
      </c>
      <c r="D421" t="s">
        <v>52</v>
      </c>
      <c r="E421" t="s">
        <v>23</v>
      </c>
      <c r="F421" s="2">
        <v>45706</v>
      </c>
      <c r="G421" s="2">
        <v>45707</v>
      </c>
      <c r="H421" t="s">
        <v>24</v>
      </c>
      <c r="I421" t="s">
        <v>54</v>
      </c>
      <c r="J421" s="2">
        <v>45708</v>
      </c>
      <c r="K421" s="2">
        <v>45708</v>
      </c>
      <c r="L421" t="s">
        <v>26</v>
      </c>
      <c r="M421" t="s">
        <v>27</v>
      </c>
      <c r="O421" t="s">
        <v>81</v>
      </c>
      <c r="Q421">
        <f t="shared" si="24"/>
        <v>1</v>
      </c>
      <c r="R421" s="3">
        <f t="shared" si="25"/>
        <v>2</v>
      </c>
      <c r="S421">
        <f t="shared" si="26"/>
        <v>0</v>
      </c>
      <c r="T421">
        <f t="shared" si="27"/>
        <v>0</v>
      </c>
    </row>
    <row r="422" spans="1:20" x14ac:dyDescent="0.25">
      <c r="A422" t="s">
        <v>488</v>
      </c>
      <c r="B422">
        <v>421</v>
      </c>
      <c r="C422" t="s">
        <v>59</v>
      </c>
      <c r="D422" t="s">
        <v>52</v>
      </c>
      <c r="E422" t="s">
        <v>53</v>
      </c>
      <c r="F422" s="2">
        <v>45914</v>
      </c>
      <c r="G422" s="2">
        <v>45915</v>
      </c>
      <c r="H422" t="s">
        <v>61</v>
      </c>
      <c r="I422" t="s">
        <v>83</v>
      </c>
      <c r="J422" s="2">
        <v>45918</v>
      </c>
      <c r="K422" s="2">
        <v>45918</v>
      </c>
      <c r="L422" t="s">
        <v>46</v>
      </c>
      <c r="M422" t="s">
        <v>27</v>
      </c>
      <c r="O422" t="s">
        <v>69</v>
      </c>
      <c r="Q422">
        <f t="shared" si="24"/>
        <v>1</v>
      </c>
      <c r="R422" s="3">
        <f t="shared" si="25"/>
        <v>4</v>
      </c>
      <c r="S422">
        <f t="shared" si="26"/>
        <v>0</v>
      </c>
      <c r="T422">
        <f t="shared" si="27"/>
        <v>1</v>
      </c>
    </row>
    <row r="423" spans="1:20" x14ac:dyDescent="0.25">
      <c r="A423" t="s">
        <v>489</v>
      </c>
      <c r="B423">
        <v>422</v>
      </c>
      <c r="C423" t="s">
        <v>21</v>
      </c>
      <c r="D423" t="s">
        <v>52</v>
      </c>
      <c r="E423" t="s">
        <v>40</v>
      </c>
      <c r="F423" s="2">
        <v>46004</v>
      </c>
      <c r="G423" s="2">
        <v>46005</v>
      </c>
      <c r="H423" t="s">
        <v>24</v>
      </c>
      <c r="I423" t="s">
        <v>85</v>
      </c>
      <c r="J423" s="2">
        <v>46009</v>
      </c>
      <c r="K423" s="2">
        <v>46009</v>
      </c>
      <c r="L423" t="s">
        <v>26</v>
      </c>
      <c r="M423" t="s">
        <v>57</v>
      </c>
      <c r="O423" t="s">
        <v>28</v>
      </c>
      <c r="Q423">
        <f t="shared" si="24"/>
        <v>1</v>
      </c>
      <c r="R423" s="3">
        <f t="shared" si="25"/>
        <v>5</v>
      </c>
      <c r="S423">
        <f t="shared" si="26"/>
        <v>0</v>
      </c>
      <c r="T423">
        <f t="shared" si="27"/>
        <v>0</v>
      </c>
    </row>
    <row r="424" spans="1:20" x14ac:dyDescent="0.25">
      <c r="A424" t="s">
        <v>490</v>
      </c>
      <c r="B424">
        <v>423</v>
      </c>
      <c r="C424" t="s">
        <v>21</v>
      </c>
      <c r="D424" t="s">
        <v>39</v>
      </c>
      <c r="E424" t="s">
        <v>23</v>
      </c>
      <c r="F424" s="2">
        <v>45997</v>
      </c>
      <c r="G424" s="2">
        <v>45998</v>
      </c>
      <c r="H424" t="s">
        <v>61</v>
      </c>
      <c r="I424" t="s">
        <v>73</v>
      </c>
      <c r="J424" s="2">
        <v>46001</v>
      </c>
      <c r="K424" s="2">
        <v>46001</v>
      </c>
      <c r="L424" t="s">
        <v>26</v>
      </c>
      <c r="M424" t="s">
        <v>57</v>
      </c>
      <c r="O424" t="s">
        <v>81</v>
      </c>
      <c r="Q424">
        <f t="shared" si="24"/>
        <v>1</v>
      </c>
      <c r="R424" s="3">
        <f t="shared" si="25"/>
        <v>4</v>
      </c>
      <c r="S424">
        <f t="shared" si="26"/>
        <v>0</v>
      </c>
      <c r="T424">
        <f t="shared" si="27"/>
        <v>0</v>
      </c>
    </row>
    <row r="425" spans="1:20" x14ac:dyDescent="0.25">
      <c r="A425" t="s">
        <v>491</v>
      </c>
      <c r="B425">
        <v>424</v>
      </c>
      <c r="C425" t="s">
        <v>21</v>
      </c>
      <c r="D425" t="s">
        <v>52</v>
      </c>
      <c r="E425" t="s">
        <v>56</v>
      </c>
      <c r="F425" s="2">
        <v>46014</v>
      </c>
      <c r="G425" s="2">
        <v>46015</v>
      </c>
      <c r="H425" t="s">
        <v>61</v>
      </c>
      <c r="I425" t="s">
        <v>42</v>
      </c>
      <c r="J425" s="2">
        <v>46018</v>
      </c>
      <c r="K425" s="2">
        <v>46018</v>
      </c>
      <c r="L425" t="s">
        <v>26</v>
      </c>
      <c r="M425" t="s">
        <v>27</v>
      </c>
      <c r="O425" t="s">
        <v>37</v>
      </c>
      <c r="Q425">
        <f t="shared" si="24"/>
        <v>1</v>
      </c>
      <c r="R425" s="3">
        <f t="shared" si="25"/>
        <v>4</v>
      </c>
      <c r="S425">
        <f t="shared" si="26"/>
        <v>0</v>
      </c>
      <c r="T425">
        <f t="shared" si="27"/>
        <v>0</v>
      </c>
    </row>
    <row r="426" spans="1:20" x14ac:dyDescent="0.25">
      <c r="A426" t="s">
        <v>492</v>
      </c>
      <c r="B426">
        <v>425</v>
      </c>
      <c r="C426" t="s">
        <v>21</v>
      </c>
      <c r="D426" t="s">
        <v>30</v>
      </c>
      <c r="E426" t="s">
        <v>60</v>
      </c>
      <c r="F426" s="2">
        <v>45997</v>
      </c>
      <c r="G426" s="2">
        <v>45997</v>
      </c>
      <c r="H426" t="s">
        <v>31</v>
      </c>
      <c r="I426" t="s">
        <v>85</v>
      </c>
      <c r="J426" s="2">
        <v>46001</v>
      </c>
      <c r="K426" s="2">
        <v>46001</v>
      </c>
      <c r="L426" t="s">
        <v>26</v>
      </c>
      <c r="M426" t="s">
        <v>57</v>
      </c>
      <c r="O426" t="s">
        <v>81</v>
      </c>
      <c r="Q426">
        <f t="shared" si="24"/>
        <v>1</v>
      </c>
      <c r="R426" s="3">
        <f t="shared" si="25"/>
        <v>4</v>
      </c>
      <c r="S426">
        <f t="shared" si="26"/>
        <v>0</v>
      </c>
      <c r="T426">
        <f t="shared" si="27"/>
        <v>0</v>
      </c>
    </row>
    <row r="427" spans="1:20" x14ac:dyDescent="0.25">
      <c r="A427" t="s">
        <v>493</v>
      </c>
      <c r="B427">
        <v>426</v>
      </c>
      <c r="C427" t="s">
        <v>21</v>
      </c>
      <c r="D427" t="s">
        <v>52</v>
      </c>
      <c r="E427" t="s">
        <v>60</v>
      </c>
      <c r="F427" s="2">
        <v>46015</v>
      </c>
      <c r="G427" s="2">
        <v>46017</v>
      </c>
      <c r="H427" t="s">
        <v>31</v>
      </c>
      <c r="I427" t="s">
        <v>25</v>
      </c>
      <c r="J427" s="2">
        <v>46020</v>
      </c>
      <c r="K427" s="2">
        <v>46020</v>
      </c>
      <c r="L427" t="s">
        <v>26</v>
      </c>
      <c r="M427" t="s">
        <v>57</v>
      </c>
      <c r="O427" t="s">
        <v>69</v>
      </c>
      <c r="Q427">
        <f t="shared" si="24"/>
        <v>1</v>
      </c>
      <c r="R427" s="3">
        <f t="shared" si="25"/>
        <v>5</v>
      </c>
      <c r="S427">
        <f t="shared" si="26"/>
        <v>0</v>
      </c>
      <c r="T427">
        <f t="shared" si="27"/>
        <v>0</v>
      </c>
    </row>
    <row r="428" spans="1:20" x14ac:dyDescent="0.25">
      <c r="A428" t="s">
        <v>494</v>
      </c>
      <c r="B428">
        <v>427</v>
      </c>
      <c r="C428" t="s">
        <v>51</v>
      </c>
      <c r="D428" t="s">
        <v>64</v>
      </c>
      <c r="E428" t="s">
        <v>23</v>
      </c>
      <c r="F428" s="2">
        <v>45685</v>
      </c>
      <c r="G428" s="2">
        <v>45686</v>
      </c>
      <c r="H428" t="s">
        <v>31</v>
      </c>
      <c r="I428" t="s">
        <v>25</v>
      </c>
      <c r="J428" s="2">
        <v>45688</v>
      </c>
      <c r="K428" s="2">
        <v>45688</v>
      </c>
      <c r="L428" t="s">
        <v>46</v>
      </c>
      <c r="M428" t="s">
        <v>27</v>
      </c>
      <c r="O428" t="s">
        <v>28</v>
      </c>
      <c r="Q428">
        <f t="shared" si="24"/>
        <v>1</v>
      </c>
      <c r="R428" s="3">
        <f t="shared" si="25"/>
        <v>3</v>
      </c>
      <c r="S428">
        <f t="shared" si="26"/>
        <v>0</v>
      </c>
      <c r="T428">
        <f t="shared" si="27"/>
        <v>1</v>
      </c>
    </row>
    <row r="429" spans="1:20" x14ac:dyDescent="0.25">
      <c r="A429" t="s">
        <v>495</v>
      </c>
      <c r="B429">
        <v>428</v>
      </c>
      <c r="C429" t="s">
        <v>36</v>
      </c>
      <c r="D429" t="s">
        <v>22</v>
      </c>
      <c r="E429" t="s">
        <v>56</v>
      </c>
      <c r="F429" s="2">
        <v>46018</v>
      </c>
      <c r="G429" s="2">
        <v>46020</v>
      </c>
      <c r="H429" t="s">
        <v>31</v>
      </c>
      <c r="I429" t="s">
        <v>62</v>
      </c>
      <c r="J429" s="2">
        <v>46022</v>
      </c>
      <c r="K429" s="2">
        <v>46025</v>
      </c>
      <c r="L429" t="s">
        <v>26</v>
      </c>
      <c r="M429" t="s">
        <v>32</v>
      </c>
      <c r="N429" t="s">
        <v>264</v>
      </c>
      <c r="O429" t="s">
        <v>81</v>
      </c>
      <c r="Q429">
        <f t="shared" si="24"/>
        <v>0</v>
      </c>
      <c r="R429" s="3">
        <f t="shared" si="25"/>
        <v>4</v>
      </c>
      <c r="S429">
        <f t="shared" si="26"/>
        <v>1</v>
      </c>
      <c r="T429">
        <f t="shared" si="27"/>
        <v>0</v>
      </c>
    </row>
    <row r="430" spans="1:20" x14ac:dyDescent="0.25">
      <c r="A430" t="s">
        <v>496</v>
      </c>
      <c r="B430">
        <v>429</v>
      </c>
      <c r="C430" t="s">
        <v>21</v>
      </c>
      <c r="D430" t="s">
        <v>52</v>
      </c>
      <c r="E430" t="s">
        <v>53</v>
      </c>
      <c r="F430" s="2">
        <v>45780</v>
      </c>
      <c r="G430" s="2">
        <v>45780</v>
      </c>
      <c r="H430" t="s">
        <v>24</v>
      </c>
      <c r="I430" t="s">
        <v>42</v>
      </c>
      <c r="J430" s="2">
        <v>45782</v>
      </c>
      <c r="K430" s="2">
        <v>45782</v>
      </c>
      <c r="L430" t="s">
        <v>26</v>
      </c>
      <c r="M430" t="s">
        <v>27</v>
      </c>
      <c r="O430" t="s">
        <v>37</v>
      </c>
      <c r="P430" t="s">
        <v>88</v>
      </c>
      <c r="Q430">
        <f t="shared" si="24"/>
        <v>1</v>
      </c>
      <c r="R430" s="3">
        <f t="shared" si="25"/>
        <v>2</v>
      </c>
      <c r="S430">
        <f t="shared" si="26"/>
        <v>0</v>
      </c>
      <c r="T430">
        <f t="shared" si="27"/>
        <v>0</v>
      </c>
    </row>
    <row r="431" spans="1:20" x14ac:dyDescent="0.25">
      <c r="A431" t="s">
        <v>497</v>
      </c>
      <c r="B431">
        <v>430</v>
      </c>
      <c r="C431" t="s">
        <v>36</v>
      </c>
      <c r="D431" t="s">
        <v>39</v>
      </c>
      <c r="E431" t="s">
        <v>23</v>
      </c>
      <c r="F431" s="2">
        <v>45795</v>
      </c>
      <c r="G431" s="2">
        <v>45795</v>
      </c>
      <c r="H431" t="s">
        <v>31</v>
      </c>
      <c r="I431" t="s">
        <v>54</v>
      </c>
      <c r="J431" s="2">
        <v>45798</v>
      </c>
      <c r="K431" s="2">
        <v>45798</v>
      </c>
      <c r="L431" t="s">
        <v>26</v>
      </c>
      <c r="M431" t="s">
        <v>27</v>
      </c>
      <c r="O431" t="s">
        <v>69</v>
      </c>
      <c r="Q431">
        <f t="shared" si="24"/>
        <v>1</v>
      </c>
      <c r="R431" s="3">
        <f t="shared" si="25"/>
        <v>3</v>
      </c>
      <c r="S431">
        <f t="shared" si="26"/>
        <v>0</v>
      </c>
      <c r="T431">
        <f t="shared" si="27"/>
        <v>0</v>
      </c>
    </row>
    <row r="432" spans="1:20" x14ac:dyDescent="0.25">
      <c r="A432" t="s">
        <v>498</v>
      </c>
      <c r="B432">
        <v>431</v>
      </c>
      <c r="C432" t="s">
        <v>51</v>
      </c>
      <c r="D432" t="s">
        <v>64</v>
      </c>
      <c r="E432" t="s">
        <v>40</v>
      </c>
      <c r="F432" s="2">
        <v>45864</v>
      </c>
      <c r="G432" s="2">
        <v>45865</v>
      </c>
      <c r="H432" t="s">
        <v>61</v>
      </c>
      <c r="I432" t="s">
        <v>62</v>
      </c>
      <c r="J432" s="2">
        <v>45869</v>
      </c>
      <c r="K432" s="2">
        <v>45869</v>
      </c>
      <c r="L432" t="s">
        <v>26</v>
      </c>
      <c r="M432" t="s">
        <v>27</v>
      </c>
      <c r="O432" t="s">
        <v>37</v>
      </c>
      <c r="P432" t="s">
        <v>88</v>
      </c>
      <c r="Q432">
        <f t="shared" si="24"/>
        <v>1</v>
      </c>
      <c r="R432" s="3">
        <f t="shared" si="25"/>
        <v>5</v>
      </c>
      <c r="S432">
        <f t="shared" si="26"/>
        <v>0</v>
      </c>
      <c r="T432">
        <f t="shared" si="27"/>
        <v>0</v>
      </c>
    </row>
    <row r="433" spans="1:20" x14ac:dyDescent="0.25">
      <c r="A433" t="s">
        <v>499</v>
      </c>
      <c r="B433">
        <v>432</v>
      </c>
      <c r="C433" t="s">
        <v>51</v>
      </c>
      <c r="D433" t="s">
        <v>39</v>
      </c>
      <c r="E433" t="s">
        <v>53</v>
      </c>
      <c r="F433" s="2">
        <v>46006</v>
      </c>
      <c r="G433" s="2">
        <v>46008</v>
      </c>
      <c r="H433" t="s">
        <v>41</v>
      </c>
      <c r="I433" t="s">
        <v>62</v>
      </c>
      <c r="J433" s="2">
        <v>46012</v>
      </c>
      <c r="K433" s="2">
        <v>46012</v>
      </c>
      <c r="L433" t="s">
        <v>26</v>
      </c>
      <c r="M433" t="s">
        <v>57</v>
      </c>
      <c r="O433" t="s">
        <v>81</v>
      </c>
      <c r="Q433">
        <f t="shared" si="24"/>
        <v>1</v>
      </c>
      <c r="R433" s="3">
        <f t="shared" si="25"/>
        <v>6</v>
      </c>
      <c r="S433">
        <f t="shared" si="26"/>
        <v>0</v>
      </c>
      <c r="T433">
        <f t="shared" si="27"/>
        <v>0</v>
      </c>
    </row>
    <row r="434" spans="1:20" x14ac:dyDescent="0.25">
      <c r="A434" t="s">
        <v>500</v>
      </c>
      <c r="B434">
        <v>433</v>
      </c>
      <c r="C434" t="s">
        <v>21</v>
      </c>
      <c r="D434" t="s">
        <v>22</v>
      </c>
      <c r="E434" t="s">
        <v>53</v>
      </c>
      <c r="F434" s="2">
        <v>45906</v>
      </c>
      <c r="G434" s="2">
        <v>45907</v>
      </c>
      <c r="H434" t="s">
        <v>31</v>
      </c>
      <c r="I434" t="s">
        <v>85</v>
      </c>
      <c r="J434" s="2">
        <v>45909</v>
      </c>
      <c r="K434" s="2">
        <v>45909</v>
      </c>
      <c r="L434" t="s">
        <v>26</v>
      </c>
      <c r="M434" t="s">
        <v>57</v>
      </c>
      <c r="O434" t="s">
        <v>28</v>
      </c>
      <c r="Q434">
        <f t="shared" si="24"/>
        <v>1</v>
      </c>
      <c r="R434" s="3">
        <f t="shared" si="25"/>
        <v>3</v>
      </c>
      <c r="S434">
        <f t="shared" si="26"/>
        <v>0</v>
      </c>
      <c r="T434">
        <f t="shared" si="27"/>
        <v>0</v>
      </c>
    </row>
    <row r="435" spans="1:20" x14ac:dyDescent="0.25">
      <c r="A435" t="s">
        <v>501</v>
      </c>
      <c r="B435">
        <v>434</v>
      </c>
      <c r="C435" t="s">
        <v>36</v>
      </c>
      <c r="D435" t="s">
        <v>30</v>
      </c>
      <c r="E435" t="s">
        <v>60</v>
      </c>
      <c r="F435" s="2">
        <v>45827</v>
      </c>
      <c r="G435" s="2">
        <v>45827</v>
      </c>
      <c r="H435" t="s">
        <v>31</v>
      </c>
      <c r="I435" t="s">
        <v>25</v>
      </c>
      <c r="J435" s="2">
        <v>45828</v>
      </c>
      <c r="K435" s="2">
        <v>45828</v>
      </c>
      <c r="L435" t="s">
        <v>26</v>
      </c>
      <c r="M435" t="s">
        <v>27</v>
      </c>
      <c r="O435" t="s">
        <v>69</v>
      </c>
      <c r="Q435">
        <f t="shared" si="24"/>
        <v>1</v>
      </c>
      <c r="R435" s="3">
        <f t="shared" si="25"/>
        <v>1</v>
      </c>
      <c r="S435">
        <f t="shared" si="26"/>
        <v>0</v>
      </c>
      <c r="T435">
        <f t="shared" si="27"/>
        <v>0</v>
      </c>
    </row>
    <row r="436" spans="1:20" x14ac:dyDescent="0.25">
      <c r="A436" t="s">
        <v>502</v>
      </c>
      <c r="B436">
        <v>435</v>
      </c>
      <c r="C436" t="s">
        <v>78</v>
      </c>
      <c r="D436" t="s">
        <v>39</v>
      </c>
      <c r="E436" t="s">
        <v>60</v>
      </c>
      <c r="F436" s="2">
        <v>45812</v>
      </c>
      <c r="G436" s="2">
        <v>45814</v>
      </c>
      <c r="H436" t="s">
        <v>45</v>
      </c>
      <c r="I436" t="s">
        <v>62</v>
      </c>
      <c r="J436" s="2">
        <v>45818</v>
      </c>
      <c r="K436" s="2">
        <v>45818</v>
      </c>
      <c r="L436" t="s">
        <v>26</v>
      </c>
      <c r="M436" t="s">
        <v>27</v>
      </c>
      <c r="O436" t="s">
        <v>34</v>
      </c>
      <c r="Q436">
        <f t="shared" si="24"/>
        <v>1</v>
      </c>
      <c r="R436" s="3">
        <f t="shared" si="25"/>
        <v>6</v>
      </c>
      <c r="S436">
        <f t="shared" si="26"/>
        <v>0</v>
      </c>
      <c r="T436">
        <f t="shared" si="27"/>
        <v>0</v>
      </c>
    </row>
    <row r="437" spans="1:20" x14ac:dyDescent="0.25">
      <c r="A437" t="s">
        <v>503</v>
      </c>
      <c r="B437">
        <v>436</v>
      </c>
      <c r="C437" t="s">
        <v>59</v>
      </c>
      <c r="D437" t="s">
        <v>30</v>
      </c>
      <c r="E437" t="s">
        <v>40</v>
      </c>
      <c r="F437" s="2">
        <v>46000</v>
      </c>
      <c r="G437" s="2">
        <v>46000</v>
      </c>
      <c r="H437" t="s">
        <v>31</v>
      </c>
      <c r="I437" t="s">
        <v>62</v>
      </c>
      <c r="J437" s="2">
        <v>46002</v>
      </c>
      <c r="K437" s="2">
        <v>46002</v>
      </c>
      <c r="L437" t="s">
        <v>26</v>
      </c>
      <c r="M437" t="s">
        <v>57</v>
      </c>
      <c r="O437" t="s">
        <v>34</v>
      </c>
      <c r="P437" t="s">
        <v>71</v>
      </c>
      <c r="Q437">
        <f t="shared" si="24"/>
        <v>1</v>
      </c>
      <c r="R437" s="3">
        <f t="shared" si="25"/>
        <v>2</v>
      </c>
      <c r="S437">
        <f t="shared" si="26"/>
        <v>0</v>
      </c>
      <c r="T437">
        <f t="shared" si="27"/>
        <v>0</v>
      </c>
    </row>
    <row r="438" spans="1:20" x14ac:dyDescent="0.25">
      <c r="A438" t="s">
        <v>504</v>
      </c>
      <c r="B438">
        <v>437</v>
      </c>
      <c r="C438" t="s">
        <v>78</v>
      </c>
      <c r="D438" t="s">
        <v>52</v>
      </c>
      <c r="E438" t="s">
        <v>60</v>
      </c>
      <c r="F438" s="2">
        <v>45976</v>
      </c>
      <c r="G438" s="2">
        <v>45976</v>
      </c>
      <c r="H438" t="s">
        <v>24</v>
      </c>
      <c r="I438" t="s">
        <v>73</v>
      </c>
      <c r="J438" s="2">
        <v>45980</v>
      </c>
      <c r="K438" s="2">
        <v>45980</v>
      </c>
      <c r="L438" t="s">
        <v>26</v>
      </c>
      <c r="M438" t="s">
        <v>27</v>
      </c>
      <c r="O438" t="s">
        <v>37</v>
      </c>
      <c r="Q438">
        <f t="shared" si="24"/>
        <v>1</v>
      </c>
      <c r="R438" s="3">
        <f t="shared" si="25"/>
        <v>4</v>
      </c>
      <c r="S438">
        <f t="shared" si="26"/>
        <v>0</v>
      </c>
      <c r="T438">
        <f t="shared" si="27"/>
        <v>0</v>
      </c>
    </row>
    <row r="439" spans="1:20" x14ac:dyDescent="0.25">
      <c r="A439" t="s">
        <v>505</v>
      </c>
      <c r="B439">
        <v>438</v>
      </c>
      <c r="C439" t="s">
        <v>59</v>
      </c>
      <c r="D439" t="s">
        <v>39</v>
      </c>
      <c r="E439" t="s">
        <v>40</v>
      </c>
      <c r="F439" s="2">
        <v>45719</v>
      </c>
      <c r="G439" s="2">
        <v>45721</v>
      </c>
      <c r="H439" t="s">
        <v>45</v>
      </c>
      <c r="I439" t="s">
        <v>83</v>
      </c>
      <c r="J439" s="2">
        <v>45724</v>
      </c>
      <c r="K439" s="2">
        <v>45724</v>
      </c>
      <c r="L439" t="s">
        <v>26</v>
      </c>
      <c r="M439" t="s">
        <v>27</v>
      </c>
      <c r="O439" t="s">
        <v>69</v>
      </c>
      <c r="Q439">
        <f t="shared" si="24"/>
        <v>1</v>
      </c>
      <c r="R439" s="3">
        <f t="shared" si="25"/>
        <v>5</v>
      </c>
      <c r="S439">
        <f t="shared" si="26"/>
        <v>0</v>
      </c>
      <c r="T439">
        <f t="shared" si="27"/>
        <v>0</v>
      </c>
    </row>
    <row r="440" spans="1:20" x14ac:dyDescent="0.25">
      <c r="A440" t="s">
        <v>506</v>
      </c>
      <c r="B440">
        <v>439</v>
      </c>
      <c r="C440" t="s">
        <v>21</v>
      </c>
      <c r="D440" t="s">
        <v>39</v>
      </c>
      <c r="E440" t="s">
        <v>53</v>
      </c>
      <c r="F440" s="2">
        <v>45774</v>
      </c>
      <c r="G440" s="2">
        <v>45774</v>
      </c>
      <c r="H440" t="s">
        <v>41</v>
      </c>
      <c r="I440" t="s">
        <v>62</v>
      </c>
      <c r="J440" s="2">
        <v>45776</v>
      </c>
      <c r="K440" s="2">
        <v>45776</v>
      </c>
      <c r="L440" t="s">
        <v>26</v>
      </c>
      <c r="M440" t="s">
        <v>57</v>
      </c>
      <c r="O440" t="s">
        <v>43</v>
      </c>
      <c r="Q440">
        <f t="shared" si="24"/>
        <v>1</v>
      </c>
      <c r="R440" s="3">
        <f t="shared" si="25"/>
        <v>2</v>
      </c>
      <c r="S440">
        <f t="shared" si="26"/>
        <v>0</v>
      </c>
      <c r="T440">
        <f t="shared" si="27"/>
        <v>0</v>
      </c>
    </row>
    <row r="441" spans="1:20" x14ac:dyDescent="0.25">
      <c r="A441" t="s">
        <v>507</v>
      </c>
      <c r="B441">
        <v>440</v>
      </c>
      <c r="C441" t="s">
        <v>51</v>
      </c>
      <c r="D441" t="s">
        <v>52</v>
      </c>
      <c r="E441" t="s">
        <v>60</v>
      </c>
      <c r="F441" s="2">
        <v>45819</v>
      </c>
      <c r="G441" s="2">
        <v>45821</v>
      </c>
      <c r="H441" t="s">
        <v>24</v>
      </c>
      <c r="I441" t="s">
        <v>83</v>
      </c>
      <c r="J441" s="2">
        <v>45825</v>
      </c>
      <c r="K441" s="2">
        <v>45825</v>
      </c>
      <c r="L441" t="s">
        <v>26</v>
      </c>
      <c r="M441" t="s">
        <v>57</v>
      </c>
      <c r="O441" t="s">
        <v>43</v>
      </c>
      <c r="Q441">
        <f t="shared" si="24"/>
        <v>1</v>
      </c>
      <c r="R441" s="3">
        <f t="shared" si="25"/>
        <v>6</v>
      </c>
      <c r="S441">
        <f t="shared" si="26"/>
        <v>0</v>
      </c>
      <c r="T441">
        <f t="shared" si="27"/>
        <v>0</v>
      </c>
    </row>
    <row r="442" spans="1:20" x14ac:dyDescent="0.25">
      <c r="A442" t="s">
        <v>508</v>
      </c>
      <c r="B442">
        <v>441</v>
      </c>
      <c r="C442" t="s">
        <v>51</v>
      </c>
      <c r="D442" t="s">
        <v>39</v>
      </c>
      <c r="E442" t="s">
        <v>40</v>
      </c>
      <c r="F442" s="2">
        <v>45761</v>
      </c>
      <c r="G442" s="2">
        <v>45761</v>
      </c>
      <c r="H442" t="s">
        <v>41</v>
      </c>
      <c r="I442" t="s">
        <v>42</v>
      </c>
      <c r="J442" s="2">
        <v>45766</v>
      </c>
      <c r="K442" s="2">
        <v>45766</v>
      </c>
      <c r="L442" t="s">
        <v>26</v>
      </c>
      <c r="M442" t="s">
        <v>57</v>
      </c>
      <c r="O442" t="s">
        <v>81</v>
      </c>
      <c r="Q442">
        <f t="shared" si="24"/>
        <v>1</v>
      </c>
      <c r="R442" s="3">
        <f t="shared" si="25"/>
        <v>5</v>
      </c>
      <c r="S442">
        <f t="shared" si="26"/>
        <v>0</v>
      </c>
      <c r="T442">
        <f t="shared" si="27"/>
        <v>0</v>
      </c>
    </row>
    <row r="443" spans="1:20" x14ac:dyDescent="0.25">
      <c r="A443" t="s">
        <v>509</v>
      </c>
      <c r="B443">
        <v>442</v>
      </c>
      <c r="C443" t="s">
        <v>36</v>
      </c>
      <c r="D443" t="s">
        <v>64</v>
      </c>
      <c r="E443" t="s">
        <v>56</v>
      </c>
      <c r="F443" s="2">
        <v>45888</v>
      </c>
      <c r="G443" s="2">
        <v>45888</v>
      </c>
      <c r="H443" t="s">
        <v>45</v>
      </c>
      <c r="I443" t="s">
        <v>83</v>
      </c>
      <c r="J443" s="2">
        <v>45891</v>
      </c>
      <c r="K443" s="2">
        <v>45891</v>
      </c>
      <c r="L443" t="s">
        <v>26</v>
      </c>
      <c r="M443" t="s">
        <v>27</v>
      </c>
      <c r="O443" t="s">
        <v>43</v>
      </c>
      <c r="Q443">
        <f t="shared" si="24"/>
        <v>1</v>
      </c>
      <c r="R443" s="3">
        <f t="shared" si="25"/>
        <v>3</v>
      </c>
      <c r="S443">
        <f t="shared" si="26"/>
        <v>0</v>
      </c>
      <c r="T443">
        <f t="shared" si="27"/>
        <v>0</v>
      </c>
    </row>
    <row r="444" spans="1:20" x14ac:dyDescent="0.25">
      <c r="A444" t="s">
        <v>510</v>
      </c>
      <c r="B444">
        <v>443</v>
      </c>
      <c r="C444" t="s">
        <v>51</v>
      </c>
      <c r="D444" t="s">
        <v>64</v>
      </c>
      <c r="E444" t="s">
        <v>23</v>
      </c>
      <c r="F444" s="2">
        <v>45757</v>
      </c>
      <c r="G444" s="2">
        <v>45758</v>
      </c>
      <c r="H444" t="s">
        <v>24</v>
      </c>
      <c r="I444" t="s">
        <v>83</v>
      </c>
      <c r="J444" s="2">
        <v>45761</v>
      </c>
      <c r="K444" s="2">
        <v>45761</v>
      </c>
      <c r="L444" t="s">
        <v>26</v>
      </c>
      <c r="M444" t="s">
        <v>57</v>
      </c>
      <c r="O444" t="s">
        <v>34</v>
      </c>
      <c r="Q444">
        <f t="shared" si="24"/>
        <v>1</v>
      </c>
      <c r="R444" s="3">
        <f t="shared" si="25"/>
        <v>4</v>
      </c>
      <c r="S444">
        <f t="shared" si="26"/>
        <v>0</v>
      </c>
      <c r="T444">
        <f t="shared" si="27"/>
        <v>0</v>
      </c>
    </row>
    <row r="445" spans="1:20" x14ac:dyDescent="0.25">
      <c r="A445" t="s">
        <v>511</v>
      </c>
      <c r="B445">
        <v>444</v>
      </c>
      <c r="C445" t="s">
        <v>51</v>
      </c>
      <c r="D445" t="s">
        <v>52</v>
      </c>
      <c r="E445" t="s">
        <v>40</v>
      </c>
      <c r="F445" s="2">
        <v>45871</v>
      </c>
      <c r="G445" s="2">
        <v>45873</v>
      </c>
      <c r="H445" t="s">
        <v>61</v>
      </c>
      <c r="I445" t="s">
        <v>83</v>
      </c>
      <c r="J445" s="2">
        <v>45874</v>
      </c>
      <c r="K445" s="2">
        <v>45874</v>
      </c>
      <c r="L445" t="s">
        <v>26</v>
      </c>
      <c r="M445" t="s">
        <v>27</v>
      </c>
      <c r="O445" t="s">
        <v>28</v>
      </c>
      <c r="P445" t="s">
        <v>88</v>
      </c>
      <c r="Q445">
        <f t="shared" si="24"/>
        <v>1</v>
      </c>
      <c r="R445" s="3">
        <f t="shared" si="25"/>
        <v>3</v>
      </c>
      <c r="S445">
        <f t="shared" si="26"/>
        <v>0</v>
      </c>
      <c r="T445">
        <f t="shared" si="27"/>
        <v>0</v>
      </c>
    </row>
    <row r="446" spans="1:20" x14ac:dyDescent="0.25">
      <c r="A446" t="s">
        <v>512</v>
      </c>
      <c r="B446">
        <v>445</v>
      </c>
      <c r="C446" t="s">
        <v>36</v>
      </c>
      <c r="D446" t="s">
        <v>22</v>
      </c>
      <c r="E446" t="s">
        <v>40</v>
      </c>
      <c r="F446" s="2">
        <v>46014</v>
      </c>
      <c r="G446" s="2">
        <v>46014</v>
      </c>
      <c r="H446" t="s">
        <v>41</v>
      </c>
      <c r="I446" t="s">
        <v>42</v>
      </c>
      <c r="J446" s="2">
        <v>46016</v>
      </c>
      <c r="K446" s="2">
        <v>46016</v>
      </c>
      <c r="L446" t="s">
        <v>46</v>
      </c>
      <c r="M446" t="s">
        <v>57</v>
      </c>
      <c r="O446" t="s">
        <v>34</v>
      </c>
      <c r="Q446">
        <f t="shared" si="24"/>
        <v>1</v>
      </c>
      <c r="R446" s="3">
        <f t="shared" si="25"/>
        <v>2</v>
      </c>
      <c r="S446">
        <f t="shared" si="26"/>
        <v>0</v>
      </c>
      <c r="T446">
        <f t="shared" si="27"/>
        <v>1</v>
      </c>
    </row>
    <row r="447" spans="1:20" x14ac:dyDescent="0.25">
      <c r="A447" t="s">
        <v>513</v>
      </c>
      <c r="B447">
        <v>446</v>
      </c>
      <c r="C447" t="s">
        <v>21</v>
      </c>
      <c r="D447" t="s">
        <v>30</v>
      </c>
      <c r="E447" t="s">
        <v>40</v>
      </c>
      <c r="F447" s="2">
        <v>45968</v>
      </c>
      <c r="G447" s="2">
        <v>45969</v>
      </c>
      <c r="H447" t="s">
        <v>24</v>
      </c>
      <c r="I447" t="s">
        <v>85</v>
      </c>
      <c r="J447" s="2">
        <v>45973</v>
      </c>
      <c r="K447" s="2">
        <v>45973</v>
      </c>
      <c r="L447" t="s">
        <v>46</v>
      </c>
      <c r="M447" t="s">
        <v>57</v>
      </c>
      <c r="O447" t="s">
        <v>28</v>
      </c>
      <c r="Q447">
        <f t="shared" si="24"/>
        <v>1</v>
      </c>
      <c r="R447" s="3">
        <f t="shared" si="25"/>
        <v>5</v>
      </c>
      <c r="S447">
        <f t="shared" si="26"/>
        <v>0</v>
      </c>
      <c r="T447">
        <f t="shared" si="27"/>
        <v>1</v>
      </c>
    </row>
    <row r="448" spans="1:20" x14ac:dyDescent="0.25">
      <c r="A448" t="s">
        <v>514</v>
      </c>
      <c r="B448">
        <v>447</v>
      </c>
      <c r="C448" t="s">
        <v>21</v>
      </c>
      <c r="D448" t="s">
        <v>39</v>
      </c>
      <c r="E448" t="s">
        <v>60</v>
      </c>
      <c r="F448" s="2">
        <v>45701</v>
      </c>
      <c r="G448" s="2">
        <v>45703</v>
      </c>
      <c r="H448" t="s">
        <v>41</v>
      </c>
      <c r="I448" t="s">
        <v>62</v>
      </c>
      <c r="J448" s="2">
        <v>45705</v>
      </c>
      <c r="K448" s="2">
        <v>45705</v>
      </c>
      <c r="L448" t="s">
        <v>26</v>
      </c>
      <c r="M448" t="s">
        <v>27</v>
      </c>
      <c r="O448" t="s">
        <v>43</v>
      </c>
      <c r="Q448">
        <f t="shared" si="24"/>
        <v>1</v>
      </c>
      <c r="R448" s="3">
        <f t="shared" si="25"/>
        <v>4</v>
      </c>
      <c r="S448">
        <f t="shared" si="26"/>
        <v>0</v>
      </c>
      <c r="T448">
        <f t="shared" si="27"/>
        <v>0</v>
      </c>
    </row>
    <row r="449" spans="1:20" x14ac:dyDescent="0.25">
      <c r="A449" t="s">
        <v>515</v>
      </c>
      <c r="B449">
        <v>448</v>
      </c>
      <c r="C449" t="s">
        <v>51</v>
      </c>
      <c r="D449" t="s">
        <v>22</v>
      </c>
      <c r="E449" t="s">
        <v>23</v>
      </c>
      <c r="F449" s="2">
        <v>45767</v>
      </c>
      <c r="G449" s="2">
        <v>45768</v>
      </c>
      <c r="H449" t="s">
        <v>45</v>
      </c>
      <c r="I449" t="s">
        <v>85</v>
      </c>
      <c r="J449" s="2">
        <v>45774</v>
      </c>
      <c r="K449" s="2">
        <v>45774</v>
      </c>
      <c r="L449" t="s">
        <v>26</v>
      </c>
      <c r="M449" t="s">
        <v>27</v>
      </c>
      <c r="O449" t="s">
        <v>28</v>
      </c>
      <c r="P449" t="s">
        <v>76</v>
      </c>
      <c r="Q449">
        <f t="shared" si="24"/>
        <v>1</v>
      </c>
      <c r="R449" s="3">
        <f t="shared" si="25"/>
        <v>7</v>
      </c>
      <c r="S449">
        <f t="shared" si="26"/>
        <v>0</v>
      </c>
      <c r="T449">
        <f t="shared" si="27"/>
        <v>0</v>
      </c>
    </row>
    <row r="450" spans="1:20" x14ac:dyDescent="0.25">
      <c r="A450" t="s">
        <v>516</v>
      </c>
      <c r="B450">
        <v>449</v>
      </c>
      <c r="C450" t="s">
        <v>59</v>
      </c>
      <c r="D450" t="s">
        <v>22</v>
      </c>
      <c r="E450" t="s">
        <v>40</v>
      </c>
      <c r="F450" s="2">
        <v>45809</v>
      </c>
      <c r="G450" s="2">
        <v>45809</v>
      </c>
      <c r="H450" t="s">
        <v>61</v>
      </c>
      <c r="I450" t="s">
        <v>25</v>
      </c>
      <c r="J450" s="2">
        <v>45811</v>
      </c>
      <c r="K450" s="2">
        <v>45814</v>
      </c>
      <c r="L450" t="s">
        <v>26</v>
      </c>
      <c r="M450" t="s">
        <v>32</v>
      </c>
      <c r="N450" t="s">
        <v>67</v>
      </c>
      <c r="O450" t="s">
        <v>69</v>
      </c>
      <c r="Q450">
        <f t="shared" si="24"/>
        <v>0</v>
      </c>
      <c r="R450" s="3">
        <f t="shared" si="25"/>
        <v>2</v>
      </c>
      <c r="S450">
        <f t="shared" si="26"/>
        <v>1</v>
      </c>
      <c r="T450">
        <f t="shared" si="27"/>
        <v>0</v>
      </c>
    </row>
    <row r="451" spans="1:20" x14ac:dyDescent="0.25">
      <c r="A451" t="s">
        <v>517</v>
      </c>
      <c r="B451">
        <v>450</v>
      </c>
      <c r="C451" t="s">
        <v>36</v>
      </c>
      <c r="D451" t="s">
        <v>30</v>
      </c>
      <c r="E451" t="s">
        <v>53</v>
      </c>
      <c r="F451" s="2">
        <v>45911</v>
      </c>
      <c r="G451" s="2">
        <v>45911</v>
      </c>
      <c r="H451" t="s">
        <v>31</v>
      </c>
      <c r="I451" t="s">
        <v>83</v>
      </c>
      <c r="J451" s="2">
        <v>45917</v>
      </c>
      <c r="K451" s="2">
        <v>45918</v>
      </c>
      <c r="L451" t="s">
        <v>26</v>
      </c>
      <c r="M451" t="s">
        <v>32</v>
      </c>
      <c r="N451" t="s">
        <v>47</v>
      </c>
      <c r="O451" t="s">
        <v>28</v>
      </c>
      <c r="Q451">
        <f t="shared" ref="Q451:Q514" si="28">IF(K451&lt;=J451,1,0)</f>
        <v>0</v>
      </c>
      <c r="R451" s="3">
        <f t="shared" ref="R451:R514" si="29">(J451-F451)</f>
        <v>6</v>
      </c>
      <c r="S451">
        <f t="shared" ref="S451:S514" si="30">IF(M451="Delayed",1,0)</f>
        <v>1</v>
      </c>
      <c r="T451">
        <f t="shared" ref="T451:T514" si="31">IF(L451="n",1,0)</f>
        <v>0</v>
      </c>
    </row>
    <row r="452" spans="1:20" x14ac:dyDescent="0.25">
      <c r="A452" t="s">
        <v>518</v>
      </c>
      <c r="B452">
        <v>451</v>
      </c>
      <c r="C452" t="s">
        <v>78</v>
      </c>
      <c r="D452" t="s">
        <v>22</v>
      </c>
      <c r="E452" t="s">
        <v>23</v>
      </c>
      <c r="F452" s="2">
        <v>45817</v>
      </c>
      <c r="G452" s="2">
        <v>45819</v>
      </c>
      <c r="H452" t="s">
        <v>24</v>
      </c>
      <c r="I452" t="s">
        <v>54</v>
      </c>
      <c r="J452" s="2">
        <v>45821</v>
      </c>
      <c r="K452" s="2">
        <v>45821</v>
      </c>
      <c r="L452" t="s">
        <v>26</v>
      </c>
      <c r="M452" t="s">
        <v>57</v>
      </c>
      <c r="O452" t="s">
        <v>69</v>
      </c>
      <c r="Q452">
        <f t="shared" si="28"/>
        <v>1</v>
      </c>
      <c r="R452" s="3">
        <f t="shared" si="29"/>
        <v>4</v>
      </c>
      <c r="S452">
        <f t="shared" si="30"/>
        <v>0</v>
      </c>
      <c r="T452">
        <f t="shared" si="31"/>
        <v>0</v>
      </c>
    </row>
    <row r="453" spans="1:20" x14ac:dyDescent="0.25">
      <c r="A453" t="s">
        <v>519</v>
      </c>
      <c r="B453">
        <v>452</v>
      </c>
      <c r="C453" t="s">
        <v>21</v>
      </c>
      <c r="D453" t="s">
        <v>39</v>
      </c>
      <c r="E453" t="s">
        <v>40</v>
      </c>
      <c r="F453" s="2">
        <v>45764</v>
      </c>
      <c r="G453" s="2">
        <v>45765</v>
      </c>
      <c r="H453" t="s">
        <v>31</v>
      </c>
      <c r="I453" t="s">
        <v>42</v>
      </c>
      <c r="J453" s="2">
        <v>45768</v>
      </c>
      <c r="K453" s="2">
        <v>45768</v>
      </c>
      <c r="L453" t="s">
        <v>46</v>
      </c>
      <c r="M453" t="s">
        <v>27</v>
      </c>
      <c r="O453" t="s">
        <v>37</v>
      </c>
      <c r="Q453">
        <f t="shared" si="28"/>
        <v>1</v>
      </c>
      <c r="R453" s="3">
        <f t="shared" si="29"/>
        <v>4</v>
      </c>
      <c r="S453">
        <f t="shared" si="30"/>
        <v>0</v>
      </c>
      <c r="T453">
        <f t="shared" si="31"/>
        <v>1</v>
      </c>
    </row>
    <row r="454" spans="1:20" x14ac:dyDescent="0.25">
      <c r="A454" t="s">
        <v>520</v>
      </c>
      <c r="B454">
        <v>453</v>
      </c>
      <c r="C454" t="s">
        <v>21</v>
      </c>
      <c r="D454" t="s">
        <v>39</v>
      </c>
      <c r="E454" t="s">
        <v>60</v>
      </c>
      <c r="F454" s="2">
        <v>45828</v>
      </c>
      <c r="G454" s="2">
        <v>45828</v>
      </c>
      <c r="H454" t="s">
        <v>61</v>
      </c>
      <c r="I454" t="s">
        <v>25</v>
      </c>
      <c r="J454" s="2">
        <v>45833</v>
      </c>
      <c r="K454" s="2">
        <v>45834</v>
      </c>
      <c r="L454" t="s">
        <v>46</v>
      </c>
      <c r="M454" t="s">
        <v>27</v>
      </c>
      <c r="O454" t="s">
        <v>37</v>
      </c>
      <c r="Q454">
        <f t="shared" si="28"/>
        <v>0</v>
      </c>
      <c r="R454" s="3">
        <f t="shared" si="29"/>
        <v>5</v>
      </c>
      <c r="S454">
        <f t="shared" si="30"/>
        <v>0</v>
      </c>
      <c r="T454">
        <f t="shared" si="31"/>
        <v>1</v>
      </c>
    </row>
    <row r="455" spans="1:20" x14ac:dyDescent="0.25">
      <c r="A455" t="s">
        <v>521</v>
      </c>
      <c r="B455">
        <v>454</v>
      </c>
      <c r="C455" t="s">
        <v>21</v>
      </c>
      <c r="D455" t="s">
        <v>52</v>
      </c>
      <c r="E455" t="s">
        <v>60</v>
      </c>
      <c r="F455" s="2">
        <v>45756</v>
      </c>
      <c r="G455" s="2">
        <v>45758</v>
      </c>
      <c r="H455" t="s">
        <v>45</v>
      </c>
      <c r="I455" t="s">
        <v>42</v>
      </c>
      <c r="J455" s="2">
        <v>45763</v>
      </c>
      <c r="K455" s="2">
        <v>45763</v>
      </c>
      <c r="L455" t="s">
        <v>26</v>
      </c>
      <c r="M455" t="s">
        <v>27</v>
      </c>
      <c r="O455" t="s">
        <v>37</v>
      </c>
      <c r="Q455">
        <f t="shared" si="28"/>
        <v>1</v>
      </c>
      <c r="R455" s="3">
        <f t="shared" si="29"/>
        <v>7</v>
      </c>
      <c r="S455">
        <f t="shared" si="30"/>
        <v>0</v>
      </c>
      <c r="T455">
        <f t="shared" si="31"/>
        <v>0</v>
      </c>
    </row>
    <row r="456" spans="1:20" x14ac:dyDescent="0.25">
      <c r="A456" t="s">
        <v>522</v>
      </c>
      <c r="B456">
        <v>455</v>
      </c>
      <c r="C456" t="s">
        <v>21</v>
      </c>
      <c r="D456" t="s">
        <v>52</v>
      </c>
      <c r="E456" t="s">
        <v>60</v>
      </c>
      <c r="F456" s="2">
        <v>45963</v>
      </c>
      <c r="G456" s="2">
        <v>45963</v>
      </c>
      <c r="H456" t="s">
        <v>24</v>
      </c>
      <c r="I456" t="s">
        <v>73</v>
      </c>
      <c r="J456" s="2">
        <v>45967</v>
      </c>
      <c r="K456" s="2">
        <v>45967</v>
      </c>
      <c r="L456" t="s">
        <v>26</v>
      </c>
      <c r="M456" t="s">
        <v>57</v>
      </c>
      <c r="O456" t="s">
        <v>37</v>
      </c>
      <c r="Q456">
        <f t="shared" si="28"/>
        <v>1</v>
      </c>
      <c r="R456" s="3">
        <f t="shared" si="29"/>
        <v>4</v>
      </c>
      <c r="S456">
        <f t="shared" si="30"/>
        <v>0</v>
      </c>
      <c r="T456">
        <f t="shared" si="31"/>
        <v>0</v>
      </c>
    </row>
    <row r="457" spans="1:20" x14ac:dyDescent="0.25">
      <c r="A457" t="s">
        <v>523</v>
      </c>
      <c r="B457">
        <v>456</v>
      </c>
      <c r="C457" t="s">
        <v>51</v>
      </c>
      <c r="D457" t="s">
        <v>39</v>
      </c>
      <c r="E457" t="s">
        <v>23</v>
      </c>
      <c r="F457" s="2">
        <v>45937</v>
      </c>
      <c r="G457" s="2">
        <v>45938</v>
      </c>
      <c r="H457" t="s">
        <v>45</v>
      </c>
      <c r="I457" t="s">
        <v>62</v>
      </c>
      <c r="J457" s="2">
        <v>45942</v>
      </c>
      <c r="K457" s="2">
        <v>45942</v>
      </c>
      <c r="L457" t="s">
        <v>46</v>
      </c>
      <c r="M457" t="s">
        <v>27</v>
      </c>
      <c r="O457" t="s">
        <v>37</v>
      </c>
      <c r="Q457">
        <f t="shared" si="28"/>
        <v>1</v>
      </c>
      <c r="R457" s="3">
        <f t="shared" si="29"/>
        <v>5</v>
      </c>
      <c r="S457">
        <f t="shared" si="30"/>
        <v>0</v>
      </c>
      <c r="T457">
        <f t="shared" si="31"/>
        <v>1</v>
      </c>
    </row>
    <row r="458" spans="1:20" x14ac:dyDescent="0.25">
      <c r="A458" t="s">
        <v>524</v>
      </c>
      <c r="B458">
        <v>457</v>
      </c>
      <c r="C458" t="s">
        <v>21</v>
      </c>
      <c r="D458" t="s">
        <v>64</v>
      </c>
      <c r="E458" t="s">
        <v>60</v>
      </c>
      <c r="F458" s="2">
        <v>45834</v>
      </c>
      <c r="G458" s="2">
        <v>45835</v>
      </c>
      <c r="H458" t="s">
        <v>31</v>
      </c>
      <c r="I458" t="s">
        <v>73</v>
      </c>
      <c r="J458" s="2">
        <v>45838</v>
      </c>
      <c r="K458" s="2">
        <v>45838</v>
      </c>
      <c r="L458" t="s">
        <v>26</v>
      </c>
      <c r="M458" t="s">
        <v>27</v>
      </c>
      <c r="O458" t="s">
        <v>81</v>
      </c>
      <c r="Q458">
        <f t="shared" si="28"/>
        <v>1</v>
      </c>
      <c r="R458" s="3">
        <f t="shared" si="29"/>
        <v>4</v>
      </c>
      <c r="S458">
        <f t="shared" si="30"/>
        <v>0</v>
      </c>
      <c r="T458">
        <f t="shared" si="31"/>
        <v>0</v>
      </c>
    </row>
    <row r="459" spans="1:20" x14ac:dyDescent="0.25">
      <c r="A459" t="s">
        <v>525</v>
      </c>
      <c r="B459">
        <v>458</v>
      </c>
      <c r="C459" t="s">
        <v>21</v>
      </c>
      <c r="D459" t="s">
        <v>64</v>
      </c>
      <c r="E459" t="s">
        <v>53</v>
      </c>
      <c r="F459" s="2">
        <v>45958</v>
      </c>
      <c r="G459" s="2">
        <v>45958</v>
      </c>
      <c r="H459" t="s">
        <v>24</v>
      </c>
      <c r="I459" t="s">
        <v>42</v>
      </c>
      <c r="J459" s="2">
        <v>45960</v>
      </c>
      <c r="K459" s="2">
        <v>45960</v>
      </c>
      <c r="L459" t="s">
        <v>46</v>
      </c>
      <c r="M459" t="s">
        <v>57</v>
      </c>
      <c r="O459" t="s">
        <v>28</v>
      </c>
      <c r="Q459">
        <f t="shared" si="28"/>
        <v>1</v>
      </c>
      <c r="R459" s="3">
        <f t="shared" si="29"/>
        <v>2</v>
      </c>
      <c r="S459">
        <f t="shared" si="30"/>
        <v>0</v>
      </c>
      <c r="T459">
        <f t="shared" si="31"/>
        <v>1</v>
      </c>
    </row>
    <row r="460" spans="1:20" x14ac:dyDescent="0.25">
      <c r="A460" t="s">
        <v>526</v>
      </c>
      <c r="B460">
        <v>459</v>
      </c>
      <c r="C460" t="s">
        <v>51</v>
      </c>
      <c r="D460" t="s">
        <v>64</v>
      </c>
      <c r="E460" t="s">
        <v>60</v>
      </c>
      <c r="F460" s="2">
        <v>45884</v>
      </c>
      <c r="G460" s="2">
        <v>45884</v>
      </c>
      <c r="H460" t="s">
        <v>41</v>
      </c>
      <c r="I460" t="s">
        <v>42</v>
      </c>
      <c r="J460" s="2">
        <v>45888</v>
      </c>
      <c r="K460" s="2">
        <v>45889</v>
      </c>
      <c r="L460" t="s">
        <v>26</v>
      </c>
      <c r="M460" t="s">
        <v>32</v>
      </c>
      <c r="N460" t="s">
        <v>67</v>
      </c>
      <c r="O460" t="s">
        <v>81</v>
      </c>
      <c r="Q460">
        <f t="shared" si="28"/>
        <v>0</v>
      </c>
      <c r="R460" s="3">
        <f t="shared" si="29"/>
        <v>4</v>
      </c>
      <c r="S460">
        <f t="shared" si="30"/>
        <v>1</v>
      </c>
      <c r="T460">
        <f t="shared" si="31"/>
        <v>0</v>
      </c>
    </row>
    <row r="461" spans="1:20" x14ac:dyDescent="0.25">
      <c r="A461" t="s">
        <v>527</v>
      </c>
      <c r="B461">
        <v>460</v>
      </c>
      <c r="C461" t="s">
        <v>59</v>
      </c>
      <c r="D461" t="s">
        <v>22</v>
      </c>
      <c r="E461" t="s">
        <v>53</v>
      </c>
      <c r="F461" s="2">
        <v>45886</v>
      </c>
      <c r="G461" s="2">
        <v>45886</v>
      </c>
      <c r="H461" t="s">
        <v>31</v>
      </c>
      <c r="I461" t="s">
        <v>83</v>
      </c>
      <c r="J461" s="2">
        <v>45889</v>
      </c>
      <c r="K461" s="2">
        <v>45889</v>
      </c>
      <c r="L461" t="s">
        <v>26</v>
      </c>
      <c r="M461" t="s">
        <v>27</v>
      </c>
      <c r="O461" t="s">
        <v>28</v>
      </c>
      <c r="P461" t="s">
        <v>93</v>
      </c>
      <c r="Q461">
        <f t="shared" si="28"/>
        <v>1</v>
      </c>
      <c r="R461" s="3">
        <f t="shared" si="29"/>
        <v>3</v>
      </c>
      <c r="S461">
        <f t="shared" si="30"/>
        <v>0</v>
      </c>
      <c r="T461">
        <f t="shared" si="31"/>
        <v>0</v>
      </c>
    </row>
    <row r="462" spans="1:20" x14ac:dyDescent="0.25">
      <c r="A462" t="s">
        <v>528</v>
      </c>
      <c r="B462">
        <v>461</v>
      </c>
      <c r="C462" t="s">
        <v>51</v>
      </c>
      <c r="D462" t="s">
        <v>39</v>
      </c>
      <c r="E462" t="s">
        <v>53</v>
      </c>
      <c r="F462" s="2">
        <v>45826</v>
      </c>
      <c r="G462" s="2">
        <v>45826</v>
      </c>
      <c r="H462" t="s">
        <v>24</v>
      </c>
      <c r="I462" t="s">
        <v>54</v>
      </c>
      <c r="J462" s="2">
        <v>45832</v>
      </c>
      <c r="K462" s="2">
        <v>45832</v>
      </c>
      <c r="L462" t="s">
        <v>46</v>
      </c>
      <c r="M462" t="s">
        <v>57</v>
      </c>
      <c r="O462" t="s">
        <v>81</v>
      </c>
      <c r="P462" t="s">
        <v>88</v>
      </c>
      <c r="Q462">
        <f t="shared" si="28"/>
        <v>1</v>
      </c>
      <c r="R462" s="3">
        <f t="shared" si="29"/>
        <v>6</v>
      </c>
      <c r="S462">
        <f t="shared" si="30"/>
        <v>0</v>
      </c>
      <c r="T462">
        <f t="shared" si="31"/>
        <v>1</v>
      </c>
    </row>
    <row r="463" spans="1:20" x14ac:dyDescent="0.25">
      <c r="A463" t="s">
        <v>529</v>
      </c>
      <c r="B463">
        <v>462</v>
      </c>
      <c r="C463" t="s">
        <v>21</v>
      </c>
      <c r="D463" t="s">
        <v>64</v>
      </c>
      <c r="E463" t="s">
        <v>53</v>
      </c>
      <c r="F463" s="2">
        <v>45840</v>
      </c>
      <c r="G463" s="2">
        <v>45842</v>
      </c>
      <c r="H463" t="s">
        <v>24</v>
      </c>
      <c r="I463" t="s">
        <v>73</v>
      </c>
      <c r="J463" s="2">
        <v>45843</v>
      </c>
      <c r="K463" s="2">
        <v>45843</v>
      </c>
      <c r="L463" t="s">
        <v>26</v>
      </c>
      <c r="M463" t="s">
        <v>57</v>
      </c>
      <c r="O463" t="s">
        <v>43</v>
      </c>
      <c r="Q463">
        <f t="shared" si="28"/>
        <v>1</v>
      </c>
      <c r="R463" s="3">
        <f t="shared" si="29"/>
        <v>3</v>
      </c>
      <c r="S463">
        <f t="shared" si="30"/>
        <v>0</v>
      </c>
      <c r="T463">
        <f t="shared" si="31"/>
        <v>0</v>
      </c>
    </row>
    <row r="464" spans="1:20" x14ac:dyDescent="0.25">
      <c r="A464" t="s">
        <v>530</v>
      </c>
      <c r="B464">
        <v>463</v>
      </c>
      <c r="C464" t="s">
        <v>78</v>
      </c>
      <c r="D464" t="s">
        <v>22</v>
      </c>
      <c r="E464" t="s">
        <v>60</v>
      </c>
      <c r="F464" s="2">
        <v>45995</v>
      </c>
      <c r="G464" s="2">
        <v>45997</v>
      </c>
      <c r="H464" t="s">
        <v>61</v>
      </c>
      <c r="I464" t="s">
        <v>62</v>
      </c>
      <c r="J464" s="2">
        <v>46000</v>
      </c>
      <c r="K464" s="2">
        <v>46000</v>
      </c>
      <c r="L464" t="s">
        <v>46</v>
      </c>
      <c r="M464" t="s">
        <v>27</v>
      </c>
      <c r="O464" t="s">
        <v>34</v>
      </c>
      <c r="Q464">
        <f t="shared" si="28"/>
        <v>1</v>
      </c>
      <c r="R464" s="3">
        <f t="shared" si="29"/>
        <v>5</v>
      </c>
      <c r="S464">
        <f t="shared" si="30"/>
        <v>0</v>
      </c>
      <c r="T464">
        <f t="shared" si="31"/>
        <v>1</v>
      </c>
    </row>
    <row r="465" spans="1:20" x14ac:dyDescent="0.25">
      <c r="A465" t="s">
        <v>531</v>
      </c>
      <c r="B465">
        <v>464</v>
      </c>
      <c r="C465" t="s">
        <v>36</v>
      </c>
      <c r="D465" t="s">
        <v>39</v>
      </c>
      <c r="E465" t="s">
        <v>56</v>
      </c>
      <c r="F465" s="2">
        <v>45987</v>
      </c>
      <c r="G465" s="2">
        <v>45987</v>
      </c>
      <c r="H465" t="s">
        <v>45</v>
      </c>
      <c r="I465" t="s">
        <v>83</v>
      </c>
      <c r="J465" s="2">
        <v>45989</v>
      </c>
      <c r="K465" s="2">
        <v>45993</v>
      </c>
      <c r="L465" t="s">
        <v>26</v>
      </c>
      <c r="M465" t="s">
        <v>32</v>
      </c>
      <c r="N465" t="s">
        <v>67</v>
      </c>
      <c r="O465" t="s">
        <v>34</v>
      </c>
      <c r="Q465">
        <f t="shared" si="28"/>
        <v>0</v>
      </c>
      <c r="R465" s="3">
        <f t="shared" si="29"/>
        <v>2</v>
      </c>
      <c r="S465">
        <f t="shared" si="30"/>
        <v>1</v>
      </c>
      <c r="T465">
        <f t="shared" si="31"/>
        <v>0</v>
      </c>
    </row>
    <row r="466" spans="1:20" x14ac:dyDescent="0.25">
      <c r="A466" t="s">
        <v>532</v>
      </c>
      <c r="B466">
        <v>465</v>
      </c>
      <c r="C466" t="s">
        <v>36</v>
      </c>
      <c r="D466" t="s">
        <v>39</v>
      </c>
      <c r="E466" t="s">
        <v>53</v>
      </c>
      <c r="F466" s="2">
        <v>45969</v>
      </c>
      <c r="G466" s="2">
        <v>45969</v>
      </c>
      <c r="H466" t="s">
        <v>41</v>
      </c>
      <c r="I466" t="s">
        <v>54</v>
      </c>
      <c r="J466" s="2">
        <v>45972</v>
      </c>
      <c r="K466" s="2">
        <v>45973</v>
      </c>
      <c r="L466" t="s">
        <v>26</v>
      </c>
      <c r="M466" t="s">
        <v>32</v>
      </c>
      <c r="N466" t="s">
        <v>49</v>
      </c>
      <c r="O466" t="s">
        <v>34</v>
      </c>
      <c r="P466" t="s">
        <v>93</v>
      </c>
      <c r="Q466">
        <f t="shared" si="28"/>
        <v>0</v>
      </c>
      <c r="R466" s="3">
        <f t="shared" si="29"/>
        <v>3</v>
      </c>
      <c r="S466">
        <f t="shared" si="30"/>
        <v>1</v>
      </c>
      <c r="T466">
        <f t="shared" si="31"/>
        <v>0</v>
      </c>
    </row>
    <row r="467" spans="1:20" x14ac:dyDescent="0.25">
      <c r="A467" t="s">
        <v>533</v>
      </c>
      <c r="B467">
        <v>466</v>
      </c>
      <c r="C467" t="s">
        <v>78</v>
      </c>
      <c r="D467" t="s">
        <v>52</v>
      </c>
      <c r="E467" t="s">
        <v>23</v>
      </c>
      <c r="F467" s="2">
        <v>45695</v>
      </c>
      <c r="G467" s="2">
        <v>45695</v>
      </c>
      <c r="H467" t="s">
        <v>41</v>
      </c>
      <c r="I467" t="s">
        <v>85</v>
      </c>
      <c r="J467" s="2">
        <v>45696</v>
      </c>
      <c r="K467" s="2">
        <v>45696</v>
      </c>
      <c r="L467" t="s">
        <v>26</v>
      </c>
      <c r="M467" t="s">
        <v>57</v>
      </c>
      <c r="O467" t="s">
        <v>34</v>
      </c>
      <c r="Q467">
        <f t="shared" si="28"/>
        <v>1</v>
      </c>
      <c r="R467" s="3">
        <f t="shared" si="29"/>
        <v>1</v>
      </c>
      <c r="S467">
        <f t="shared" si="30"/>
        <v>0</v>
      </c>
      <c r="T467">
        <f t="shared" si="31"/>
        <v>0</v>
      </c>
    </row>
    <row r="468" spans="1:20" x14ac:dyDescent="0.25">
      <c r="A468" t="s">
        <v>534</v>
      </c>
      <c r="B468">
        <v>467</v>
      </c>
      <c r="C468" t="s">
        <v>78</v>
      </c>
      <c r="D468" t="s">
        <v>64</v>
      </c>
      <c r="E468" t="s">
        <v>56</v>
      </c>
      <c r="F468" s="2">
        <v>45839</v>
      </c>
      <c r="G468" s="2">
        <v>45840</v>
      </c>
      <c r="H468" t="s">
        <v>31</v>
      </c>
      <c r="I468" t="s">
        <v>25</v>
      </c>
      <c r="J468" s="2">
        <v>45846</v>
      </c>
      <c r="K468" s="2">
        <v>45847</v>
      </c>
      <c r="L468" t="s">
        <v>26</v>
      </c>
      <c r="M468" t="s">
        <v>32</v>
      </c>
      <c r="N468" t="s">
        <v>67</v>
      </c>
      <c r="O468" t="s">
        <v>34</v>
      </c>
      <c r="Q468">
        <f t="shared" si="28"/>
        <v>0</v>
      </c>
      <c r="R468" s="3">
        <f t="shared" si="29"/>
        <v>7</v>
      </c>
      <c r="S468">
        <f t="shared" si="30"/>
        <v>1</v>
      </c>
      <c r="T468">
        <f t="shared" si="31"/>
        <v>0</v>
      </c>
    </row>
    <row r="469" spans="1:20" x14ac:dyDescent="0.25">
      <c r="A469" t="s">
        <v>535</v>
      </c>
      <c r="B469">
        <v>468</v>
      </c>
      <c r="C469" t="s">
        <v>51</v>
      </c>
      <c r="D469" t="s">
        <v>30</v>
      </c>
      <c r="E469" t="s">
        <v>53</v>
      </c>
      <c r="F469" s="2">
        <v>45822</v>
      </c>
      <c r="G469" s="2">
        <v>45824</v>
      </c>
      <c r="H469" t="s">
        <v>45</v>
      </c>
      <c r="I469" t="s">
        <v>25</v>
      </c>
      <c r="J469" s="2">
        <v>45830</v>
      </c>
      <c r="K469" s="2">
        <v>45830</v>
      </c>
      <c r="L469" t="s">
        <v>26</v>
      </c>
      <c r="M469" t="s">
        <v>57</v>
      </c>
      <c r="O469" t="s">
        <v>34</v>
      </c>
      <c r="Q469">
        <f t="shared" si="28"/>
        <v>1</v>
      </c>
      <c r="R469" s="3">
        <f t="shared" si="29"/>
        <v>8</v>
      </c>
      <c r="S469">
        <f t="shared" si="30"/>
        <v>0</v>
      </c>
      <c r="T469">
        <f t="shared" si="31"/>
        <v>0</v>
      </c>
    </row>
    <row r="470" spans="1:20" x14ac:dyDescent="0.25">
      <c r="A470" t="s">
        <v>536</v>
      </c>
      <c r="B470">
        <v>469</v>
      </c>
      <c r="C470" t="s">
        <v>36</v>
      </c>
      <c r="D470" t="s">
        <v>52</v>
      </c>
      <c r="E470" t="s">
        <v>40</v>
      </c>
      <c r="F470" s="2">
        <v>45696</v>
      </c>
      <c r="G470" s="2">
        <v>45697</v>
      </c>
      <c r="H470" t="s">
        <v>31</v>
      </c>
      <c r="I470" t="s">
        <v>83</v>
      </c>
      <c r="J470" s="2">
        <v>45699</v>
      </c>
      <c r="K470" s="2">
        <v>45699</v>
      </c>
      <c r="L470" t="s">
        <v>26</v>
      </c>
      <c r="M470" t="s">
        <v>27</v>
      </c>
      <c r="O470" t="s">
        <v>43</v>
      </c>
      <c r="P470" t="s">
        <v>76</v>
      </c>
      <c r="Q470">
        <f t="shared" si="28"/>
        <v>1</v>
      </c>
      <c r="R470" s="3">
        <f t="shared" si="29"/>
        <v>3</v>
      </c>
      <c r="S470">
        <f t="shared" si="30"/>
        <v>0</v>
      </c>
      <c r="T470">
        <f t="shared" si="31"/>
        <v>0</v>
      </c>
    </row>
    <row r="471" spans="1:20" x14ac:dyDescent="0.25">
      <c r="A471" t="s">
        <v>537</v>
      </c>
      <c r="B471">
        <v>470</v>
      </c>
      <c r="C471" t="s">
        <v>78</v>
      </c>
      <c r="D471" t="s">
        <v>39</v>
      </c>
      <c r="E471" t="s">
        <v>53</v>
      </c>
      <c r="F471" s="2">
        <v>45822</v>
      </c>
      <c r="G471" s="2">
        <v>45823</v>
      </c>
      <c r="H471" t="s">
        <v>31</v>
      </c>
      <c r="I471" t="s">
        <v>83</v>
      </c>
      <c r="J471" s="2">
        <v>45827</v>
      </c>
      <c r="K471" s="2">
        <v>45827</v>
      </c>
      <c r="L471" t="s">
        <v>26</v>
      </c>
      <c r="M471" t="s">
        <v>27</v>
      </c>
      <c r="O471" t="s">
        <v>37</v>
      </c>
      <c r="Q471">
        <f t="shared" si="28"/>
        <v>1</v>
      </c>
      <c r="R471" s="3">
        <f t="shared" si="29"/>
        <v>5</v>
      </c>
      <c r="S471">
        <f t="shared" si="30"/>
        <v>0</v>
      </c>
      <c r="T471">
        <f t="shared" si="31"/>
        <v>0</v>
      </c>
    </row>
    <row r="472" spans="1:20" x14ac:dyDescent="0.25">
      <c r="A472" t="s">
        <v>538</v>
      </c>
      <c r="B472">
        <v>471</v>
      </c>
      <c r="C472" t="s">
        <v>78</v>
      </c>
      <c r="D472" t="s">
        <v>39</v>
      </c>
      <c r="E472" t="s">
        <v>56</v>
      </c>
      <c r="F472" s="2">
        <v>45682</v>
      </c>
      <c r="G472" s="2">
        <v>45682</v>
      </c>
      <c r="H472" t="s">
        <v>61</v>
      </c>
      <c r="I472" t="s">
        <v>73</v>
      </c>
      <c r="J472" s="2">
        <v>45684</v>
      </c>
      <c r="K472" s="2">
        <v>45684</v>
      </c>
      <c r="L472" t="s">
        <v>26</v>
      </c>
      <c r="M472" t="s">
        <v>57</v>
      </c>
      <c r="O472" t="s">
        <v>37</v>
      </c>
      <c r="P472" t="s">
        <v>76</v>
      </c>
      <c r="Q472">
        <f t="shared" si="28"/>
        <v>1</v>
      </c>
      <c r="R472" s="3">
        <f t="shared" si="29"/>
        <v>2</v>
      </c>
      <c r="S472">
        <f t="shared" si="30"/>
        <v>0</v>
      </c>
      <c r="T472">
        <f t="shared" si="31"/>
        <v>0</v>
      </c>
    </row>
    <row r="473" spans="1:20" x14ac:dyDescent="0.25">
      <c r="A473" t="s">
        <v>539</v>
      </c>
      <c r="B473">
        <v>472</v>
      </c>
      <c r="C473" t="s">
        <v>59</v>
      </c>
      <c r="D473" t="s">
        <v>22</v>
      </c>
      <c r="E473" t="s">
        <v>56</v>
      </c>
      <c r="F473" s="2">
        <v>45755</v>
      </c>
      <c r="G473" s="2">
        <v>45756</v>
      </c>
      <c r="H473" t="s">
        <v>61</v>
      </c>
      <c r="I473" t="s">
        <v>85</v>
      </c>
      <c r="J473" s="2">
        <v>45760</v>
      </c>
      <c r="K473" s="2">
        <v>45760</v>
      </c>
      <c r="L473" t="s">
        <v>26</v>
      </c>
      <c r="M473" t="s">
        <v>57</v>
      </c>
      <c r="O473" t="s">
        <v>69</v>
      </c>
      <c r="Q473">
        <f t="shared" si="28"/>
        <v>1</v>
      </c>
      <c r="R473" s="3">
        <f t="shared" si="29"/>
        <v>5</v>
      </c>
      <c r="S473">
        <f t="shared" si="30"/>
        <v>0</v>
      </c>
      <c r="T473">
        <f t="shared" si="31"/>
        <v>0</v>
      </c>
    </row>
    <row r="474" spans="1:20" x14ac:dyDescent="0.25">
      <c r="A474" t="s">
        <v>540</v>
      </c>
      <c r="B474">
        <v>473</v>
      </c>
      <c r="C474" t="s">
        <v>59</v>
      </c>
      <c r="D474" t="s">
        <v>22</v>
      </c>
      <c r="E474" t="s">
        <v>40</v>
      </c>
      <c r="F474" s="2">
        <v>45977</v>
      </c>
      <c r="G474" s="2">
        <v>45977</v>
      </c>
      <c r="H474" t="s">
        <v>45</v>
      </c>
      <c r="I474" t="s">
        <v>42</v>
      </c>
      <c r="J474" s="2">
        <v>45981</v>
      </c>
      <c r="K474" s="2">
        <v>45985</v>
      </c>
      <c r="L474" t="s">
        <v>46</v>
      </c>
      <c r="M474" t="s">
        <v>32</v>
      </c>
      <c r="N474" t="s">
        <v>47</v>
      </c>
      <c r="O474" t="s">
        <v>43</v>
      </c>
      <c r="Q474">
        <f t="shared" si="28"/>
        <v>0</v>
      </c>
      <c r="R474" s="3">
        <f t="shared" si="29"/>
        <v>4</v>
      </c>
      <c r="S474">
        <f t="shared" si="30"/>
        <v>1</v>
      </c>
      <c r="T474">
        <f t="shared" si="31"/>
        <v>1</v>
      </c>
    </row>
    <row r="475" spans="1:20" x14ac:dyDescent="0.25">
      <c r="A475" t="s">
        <v>541</v>
      </c>
      <c r="B475">
        <v>474</v>
      </c>
      <c r="C475" t="s">
        <v>51</v>
      </c>
      <c r="D475" t="s">
        <v>22</v>
      </c>
      <c r="E475" t="s">
        <v>56</v>
      </c>
      <c r="F475" s="2">
        <v>45932</v>
      </c>
      <c r="G475" s="2">
        <v>45934</v>
      </c>
      <c r="H475" t="s">
        <v>45</v>
      </c>
      <c r="I475" t="s">
        <v>62</v>
      </c>
      <c r="J475" s="2">
        <v>45936</v>
      </c>
      <c r="K475" s="2">
        <v>45936</v>
      </c>
      <c r="L475" t="s">
        <v>26</v>
      </c>
      <c r="M475" t="s">
        <v>27</v>
      </c>
      <c r="O475" t="s">
        <v>81</v>
      </c>
      <c r="P475" t="s">
        <v>88</v>
      </c>
      <c r="Q475">
        <f t="shared" si="28"/>
        <v>1</v>
      </c>
      <c r="R475" s="3">
        <f t="shared" si="29"/>
        <v>4</v>
      </c>
      <c r="S475">
        <f t="shared" si="30"/>
        <v>0</v>
      </c>
      <c r="T475">
        <f t="shared" si="31"/>
        <v>0</v>
      </c>
    </row>
    <row r="476" spans="1:20" x14ac:dyDescent="0.25">
      <c r="A476" t="s">
        <v>542</v>
      </c>
      <c r="B476">
        <v>475</v>
      </c>
      <c r="C476" t="s">
        <v>78</v>
      </c>
      <c r="D476" t="s">
        <v>52</v>
      </c>
      <c r="E476" t="s">
        <v>53</v>
      </c>
      <c r="F476" s="2">
        <v>45934</v>
      </c>
      <c r="G476" s="2">
        <v>45934</v>
      </c>
      <c r="H476" t="s">
        <v>41</v>
      </c>
      <c r="I476" t="s">
        <v>73</v>
      </c>
      <c r="J476" s="2">
        <v>45937</v>
      </c>
      <c r="K476" s="2">
        <v>45937</v>
      </c>
      <c r="L476" t="s">
        <v>26</v>
      </c>
      <c r="M476" t="s">
        <v>57</v>
      </c>
      <c r="O476" t="s">
        <v>81</v>
      </c>
      <c r="Q476">
        <f t="shared" si="28"/>
        <v>1</v>
      </c>
      <c r="R476" s="3">
        <f t="shared" si="29"/>
        <v>3</v>
      </c>
      <c r="S476">
        <f t="shared" si="30"/>
        <v>0</v>
      </c>
      <c r="T476">
        <f t="shared" si="31"/>
        <v>0</v>
      </c>
    </row>
    <row r="477" spans="1:20" x14ac:dyDescent="0.25">
      <c r="A477" t="s">
        <v>543</v>
      </c>
      <c r="B477">
        <v>476</v>
      </c>
      <c r="C477" t="s">
        <v>21</v>
      </c>
      <c r="D477" t="s">
        <v>64</v>
      </c>
      <c r="E477" t="s">
        <v>23</v>
      </c>
      <c r="F477" s="2">
        <v>45693</v>
      </c>
      <c r="G477" s="2">
        <v>45695</v>
      </c>
      <c r="H477" t="s">
        <v>61</v>
      </c>
      <c r="I477" t="s">
        <v>85</v>
      </c>
      <c r="J477" s="2">
        <v>45696</v>
      </c>
      <c r="K477" s="2">
        <v>45696</v>
      </c>
      <c r="L477" t="s">
        <v>26</v>
      </c>
      <c r="M477" t="s">
        <v>57</v>
      </c>
      <c r="O477" t="s">
        <v>43</v>
      </c>
      <c r="P477" t="s">
        <v>93</v>
      </c>
      <c r="Q477">
        <f t="shared" si="28"/>
        <v>1</v>
      </c>
      <c r="R477" s="3">
        <f t="shared" si="29"/>
        <v>3</v>
      </c>
      <c r="S477">
        <f t="shared" si="30"/>
        <v>0</v>
      </c>
      <c r="T477">
        <f t="shared" si="31"/>
        <v>0</v>
      </c>
    </row>
    <row r="478" spans="1:20" x14ac:dyDescent="0.25">
      <c r="A478" t="s">
        <v>544</v>
      </c>
      <c r="B478">
        <v>477</v>
      </c>
      <c r="C478" t="s">
        <v>78</v>
      </c>
      <c r="D478" t="s">
        <v>22</v>
      </c>
      <c r="E478" t="s">
        <v>56</v>
      </c>
      <c r="F478" s="2">
        <v>45742</v>
      </c>
      <c r="G478" s="2">
        <v>45744</v>
      </c>
      <c r="H478" t="s">
        <v>61</v>
      </c>
      <c r="I478" t="s">
        <v>62</v>
      </c>
      <c r="J478" s="2">
        <v>45745</v>
      </c>
      <c r="K478" s="2">
        <v>45746</v>
      </c>
      <c r="L478" t="s">
        <v>46</v>
      </c>
      <c r="M478" t="s">
        <v>32</v>
      </c>
      <c r="N478" t="s">
        <v>33</v>
      </c>
      <c r="O478" t="s">
        <v>81</v>
      </c>
      <c r="Q478">
        <f t="shared" si="28"/>
        <v>0</v>
      </c>
      <c r="R478" s="3">
        <f t="shared" si="29"/>
        <v>3</v>
      </c>
      <c r="S478">
        <f t="shared" si="30"/>
        <v>1</v>
      </c>
      <c r="T478">
        <f t="shared" si="31"/>
        <v>1</v>
      </c>
    </row>
    <row r="479" spans="1:20" x14ac:dyDescent="0.25">
      <c r="A479" t="s">
        <v>545</v>
      </c>
      <c r="B479">
        <v>478</v>
      </c>
      <c r="C479" t="s">
        <v>59</v>
      </c>
      <c r="D479" t="s">
        <v>30</v>
      </c>
      <c r="E479" t="s">
        <v>23</v>
      </c>
      <c r="F479" s="2">
        <v>45662</v>
      </c>
      <c r="G479" s="2">
        <v>45662</v>
      </c>
      <c r="H479" t="s">
        <v>45</v>
      </c>
      <c r="I479" t="s">
        <v>54</v>
      </c>
      <c r="J479" s="2">
        <v>45663</v>
      </c>
      <c r="K479" s="2">
        <v>45667</v>
      </c>
      <c r="L479" t="s">
        <v>26</v>
      </c>
      <c r="M479" t="s">
        <v>32</v>
      </c>
      <c r="N479" t="s">
        <v>49</v>
      </c>
      <c r="O479" t="s">
        <v>43</v>
      </c>
      <c r="Q479">
        <f t="shared" si="28"/>
        <v>0</v>
      </c>
      <c r="R479" s="3">
        <f t="shared" si="29"/>
        <v>1</v>
      </c>
      <c r="S479">
        <f t="shared" si="30"/>
        <v>1</v>
      </c>
      <c r="T479">
        <f t="shared" si="31"/>
        <v>0</v>
      </c>
    </row>
    <row r="480" spans="1:20" x14ac:dyDescent="0.25">
      <c r="A480" t="s">
        <v>546</v>
      </c>
      <c r="B480">
        <v>479</v>
      </c>
      <c r="C480" t="s">
        <v>36</v>
      </c>
      <c r="D480" t="s">
        <v>64</v>
      </c>
      <c r="E480" t="s">
        <v>53</v>
      </c>
      <c r="F480" s="2">
        <v>45711</v>
      </c>
      <c r="G480" s="2">
        <v>45711</v>
      </c>
      <c r="H480" t="s">
        <v>24</v>
      </c>
      <c r="I480" t="s">
        <v>73</v>
      </c>
      <c r="J480" s="2">
        <v>45715</v>
      </c>
      <c r="K480" s="2">
        <v>45715</v>
      </c>
      <c r="L480" t="s">
        <v>26</v>
      </c>
      <c r="M480" t="s">
        <v>57</v>
      </c>
      <c r="O480" t="s">
        <v>28</v>
      </c>
      <c r="P480" t="s">
        <v>93</v>
      </c>
      <c r="Q480">
        <f t="shared" si="28"/>
        <v>1</v>
      </c>
      <c r="R480" s="3">
        <f t="shared" si="29"/>
        <v>4</v>
      </c>
      <c r="S480">
        <f t="shared" si="30"/>
        <v>0</v>
      </c>
      <c r="T480">
        <f t="shared" si="31"/>
        <v>0</v>
      </c>
    </row>
    <row r="481" spans="1:20" x14ac:dyDescent="0.25">
      <c r="A481" t="s">
        <v>547</v>
      </c>
      <c r="B481">
        <v>480</v>
      </c>
      <c r="C481" t="s">
        <v>21</v>
      </c>
      <c r="D481" t="s">
        <v>64</v>
      </c>
      <c r="E481" t="s">
        <v>23</v>
      </c>
      <c r="F481" s="2">
        <v>45698</v>
      </c>
      <c r="G481" s="2">
        <v>45699</v>
      </c>
      <c r="H481" t="s">
        <v>31</v>
      </c>
      <c r="I481" t="s">
        <v>54</v>
      </c>
      <c r="J481" s="2">
        <v>45701</v>
      </c>
      <c r="K481" s="2">
        <v>45701</v>
      </c>
      <c r="L481" t="s">
        <v>26</v>
      </c>
      <c r="M481" t="s">
        <v>57</v>
      </c>
      <c r="O481" t="s">
        <v>34</v>
      </c>
      <c r="Q481">
        <f t="shared" si="28"/>
        <v>1</v>
      </c>
      <c r="R481" s="3">
        <f t="shared" si="29"/>
        <v>3</v>
      </c>
      <c r="S481">
        <f t="shared" si="30"/>
        <v>0</v>
      </c>
      <c r="T481">
        <f t="shared" si="31"/>
        <v>0</v>
      </c>
    </row>
    <row r="482" spans="1:20" x14ac:dyDescent="0.25">
      <c r="A482" t="s">
        <v>548</v>
      </c>
      <c r="B482">
        <v>481</v>
      </c>
      <c r="C482" t="s">
        <v>78</v>
      </c>
      <c r="D482" t="s">
        <v>22</v>
      </c>
      <c r="E482" t="s">
        <v>56</v>
      </c>
      <c r="F482" s="2">
        <v>46012</v>
      </c>
      <c r="G482" s="2">
        <v>46012</v>
      </c>
      <c r="H482" t="s">
        <v>24</v>
      </c>
      <c r="I482" t="s">
        <v>54</v>
      </c>
      <c r="J482" s="2">
        <v>46014</v>
      </c>
      <c r="K482" s="2">
        <v>46015</v>
      </c>
      <c r="L482" t="s">
        <v>26</v>
      </c>
      <c r="M482" t="s">
        <v>32</v>
      </c>
      <c r="N482" t="s">
        <v>75</v>
      </c>
      <c r="O482" t="s">
        <v>37</v>
      </c>
      <c r="Q482">
        <f t="shared" si="28"/>
        <v>0</v>
      </c>
      <c r="R482" s="3">
        <f t="shared" si="29"/>
        <v>2</v>
      </c>
      <c r="S482">
        <f t="shared" si="30"/>
        <v>1</v>
      </c>
      <c r="T482">
        <f t="shared" si="31"/>
        <v>0</v>
      </c>
    </row>
    <row r="483" spans="1:20" x14ac:dyDescent="0.25">
      <c r="A483" t="s">
        <v>549</v>
      </c>
      <c r="B483">
        <v>482</v>
      </c>
      <c r="C483" t="s">
        <v>21</v>
      </c>
      <c r="D483" t="s">
        <v>52</v>
      </c>
      <c r="E483" t="s">
        <v>40</v>
      </c>
      <c r="F483" s="2">
        <v>46008</v>
      </c>
      <c r="G483" s="2">
        <v>46008</v>
      </c>
      <c r="H483" t="s">
        <v>41</v>
      </c>
      <c r="I483" t="s">
        <v>25</v>
      </c>
      <c r="J483" s="2">
        <v>46012</v>
      </c>
      <c r="K483" s="2">
        <v>46015</v>
      </c>
      <c r="L483" t="s">
        <v>26</v>
      </c>
      <c r="M483" t="s">
        <v>32</v>
      </c>
      <c r="N483" t="s">
        <v>264</v>
      </c>
      <c r="O483" t="s">
        <v>69</v>
      </c>
      <c r="P483" t="s">
        <v>76</v>
      </c>
      <c r="Q483">
        <f t="shared" si="28"/>
        <v>0</v>
      </c>
      <c r="R483" s="3">
        <f t="shared" si="29"/>
        <v>4</v>
      </c>
      <c r="S483">
        <f t="shared" si="30"/>
        <v>1</v>
      </c>
      <c r="T483">
        <f t="shared" si="31"/>
        <v>0</v>
      </c>
    </row>
    <row r="484" spans="1:20" x14ac:dyDescent="0.25">
      <c r="A484" t="s">
        <v>550</v>
      </c>
      <c r="B484">
        <v>483</v>
      </c>
      <c r="C484" t="s">
        <v>59</v>
      </c>
      <c r="D484" t="s">
        <v>30</v>
      </c>
      <c r="E484" t="s">
        <v>23</v>
      </c>
      <c r="F484" s="2">
        <v>45756</v>
      </c>
      <c r="G484" s="2">
        <v>45758</v>
      </c>
      <c r="H484" t="s">
        <v>41</v>
      </c>
      <c r="I484" t="s">
        <v>54</v>
      </c>
      <c r="J484" s="2">
        <v>45761</v>
      </c>
      <c r="K484" s="2">
        <v>45761</v>
      </c>
      <c r="L484" t="s">
        <v>46</v>
      </c>
      <c r="M484" t="s">
        <v>27</v>
      </c>
      <c r="O484" t="s">
        <v>37</v>
      </c>
      <c r="Q484">
        <f t="shared" si="28"/>
        <v>1</v>
      </c>
      <c r="R484" s="3">
        <f t="shared" si="29"/>
        <v>5</v>
      </c>
      <c r="S484">
        <f t="shared" si="30"/>
        <v>0</v>
      </c>
      <c r="T484">
        <f t="shared" si="31"/>
        <v>1</v>
      </c>
    </row>
    <row r="485" spans="1:20" x14ac:dyDescent="0.25">
      <c r="A485" t="s">
        <v>551</v>
      </c>
      <c r="B485">
        <v>484</v>
      </c>
      <c r="C485" t="s">
        <v>59</v>
      </c>
      <c r="D485" t="s">
        <v>22</v>
      </c>
      <c r="E485" t="s">
        <v>56</v>
      </c>
      <c r="F485" s="2">
        <v>45760</v>
      </c>
      <c r="G485" s="2">
        <v>45760</v>
      </c>
      <c r="H485" t="s">
        <v>45</v>
      </c>
      <c r="I485" t="s">
        <v>62</v>
      </c>
      <c r="J485" s="2">
        <v>45764</v>
      </c>
      <c r="K485" s="2">
        <v>45764</v>
      </c>
      <c r="L485" t="s">
        <v>26</v>
      </c>
      <c r="M485" t="s">
        <v>27</v>
      </c>
      <c r="O485" t="s">
        <v>28</v>
      </c>
      <c r="P485" t="s">
        <v>93</v>
      </c>
      <c r="Q485">
        <f t="shared" si="28"/>
        <v>1</v>
      </c>
      <c r="R485" s="3">
        <f t="shared" si="29"/>
        <v>4</v>
      </c>
      <c r="S485">
        <f t="shared" si="30"/>
        <v>0</v>
      </c>
      <c r="T485">
        <f t="shared" si="31"/>
        <v>0</v>
      </c>
    </row>
    <row r="486" spans="1:20" x14ac:dyDescent="0.25">
      <c r="A486" t="s">
        <v>552</v>
      </c>
      <c r="B486">
        <v>485</v>
      </c>
      <c r="C486" t="s">
        <v>51</v>
      </c>
      <c r="D486" t="s">
        <v>39</v>
      </c>
      <c r="E486" t="s">
        <v>40</v>
      </c>
      <c r="F486" s="2">
        <v>46013</v>
      </c>
      <c r="G486" s="2">
        <v>46014</v>
      </c>
      <c r="H486" t="s">
        <v>31</v>
      </c>
      <c r="I486" t="s">
        <v>54</v>
      </c>
      <c r="J486" s="2">
        <v>46017</v>
      </c>
      <c r="K486" s="2">
        <v>46017</v>
      </c>
      <c r="L486" t="s">
        <v>26</v>
      </c>
      <c r="M486" t="s">
        <v>57</v>
      </c>
      <c r="O486" t="s">
        <v>43</v>
      </c>
      <c r="Q486">
        <f t="shared" si="28"/>
        <v>1</v>
      </c>
      <c r="R486" s="3">
        <f t="shared" si="29"/>
        <v>4</v>
      </c>
      <c r="S486">
        <f t="shared" si="30"/>
        <v>0</v>
      </c>
      <c r="T486">
        <f t="shared" si="31"/>
        <v>0</v>
      </c>
    </row>
    <row r="487" spans="1:20" x14ac:dyDescent="0.25">
      <c r="A487" t="s">
        <v>553</v>
      </c>
      <c r="B487">
        <v>486</v>
      </c>
      <c r="C487" t="s">
        <v>36</v>
      </c>
      <c r="D487" t="s">
        <v>64</v>
      </c>
      <c r="E487" t="s">
        <v>53</v>
      </c>
      <c r="F487" s="2">
        <v>45885</v>
      </c>
      <c r="G487" s="2">
        <v>45887</v>
      </c>
      <c r="H487" t="s">
        <v>24</v>
      </c>
      <c r="I487" t="s">
        <v>85</v>
      </c>
      <c r="J487" s="2">
        <v>45888</v>
      </c>
      <c r="K487" s="2">
        <v>45888</v>
      </c>
      <c r="L487" t="s">
        <v>26</v>
      </c>
      <c r="M487" t="s">
        <v>27</v>
      </c>
      <c r="O487" t="s">
        <v>28</v>
      </c>
      <c r="P487" t="s">
        <v>93</v>
      </c>
      <c r="Q487">
        <f t="shared" si="28"/>
        <v>1</v>
      </c>
      <c r="R487" s="3">
        <f t="shared" si="29"/>
        <v>3</v>
      </c>
      <c r="S487">
        <f t="shared" si="30"/>
        <v>0</v>
      </c>
      <c r="T487">
        <f t="shared" si="31"/>
        <v>0</v>
      </c>
    </row>
    <row r="488" spans="1:20" x14ac:dyDescent="0.25">
      <c r="A488" t="s">
        <v>554</v>
      </c>
      <c r="B488">
        <v>487</v>
      </c>
      <c r="C488" t="s">
        <v>78</v>
      </c>
      <c r="D488" t="s">
        <v>52</v>
      </c>
      <c r="E488" t="s">
        <v>23</v>
      </c>
      <c r="F488" s="2">
        <v>45826</v>
      </c>
      <c r="G488" s="2">
        <v>45826</v>
      </c>
      <c r="H488" t="s">
        <v>41</v>
      </c>
      <c r="I488" t="s">
        <v>62</v>
      </c>
      <c r="J488" s="2">
        <v>45827</v>
      </c>
      <c r="K488" s="2">
        <v>45827</v>
      </c>
      <c r="L488" t="s">
        <v>26</v>
      </c>
      <c r="M488" t="s">
        <v>57</v>
      </c>
      <c r="O488" t="s">
        <v>69</v>
      </c>
      <c r="Q488">
        <f t="shared" si="28"/>
        <v>1</v>
      </c>
      <c r="R488" s="3">
        <f t="shared" si="29"/>
        <v>1</v>
      </c>
      <c r="S488">
        <f t="shared" si="30"/>
        <v>0</v>
      </c>
      <c r="T488">
        <f t="shared" si="31"/>
        <v>0</v>
      </c>
    </row>
    <row r="489" spans="1:20" x14ac:dyDescent="0.25">
      <c r="A489" t="s">
        <v>555</v>
      </c>
      <c r="B489">
        <v>488</v>
      </c>
      <c r="C489" t="s">
        <v>36</v>
      </c>
      <c r="D489" t="s">
        <v>64</v>
      </c>
      <c r="E489" t="s">
        <v>23</v>
      </c>
      <c r="F489" s="2">
        <v>45852</v>
      </c>
      <c r="G489" s="2">
        <v>45852</v>
      </c>
      <c r="H489" t="s">
        <v>41</v>
      </c>
      <c r="I489" t="s">
        <v>73</v>
      </c>
      <c r="J489" s="2">
        <v>45853</v>
      </c>
      <c r="K489" s="2">
        <v>45853</v>
      </c>
      <c r="L489" t="s">
        <v>26</v>
      </c>
      <c r="M489" t="s">
        <v>57</v>
      </c>
      <c r="O489" t="s">
        <v>37</v>
      </c>
      <c r="Q489">
        <f t="shared" si="28"/>
        <v>1</v>
      </c>
      <c r="R489" s="3">
        <f t="shared" si="29"/>
        <v>1</v>
      </c>
      <c r="S489">
        <f t="shared" si="30"/>
        <v>0</v>
      </c>
      <c r="T489">
        <f t="shared" si="31"/>
        <v>0</v>
      </c>
    </row>
    <row r="490" spans="1:20" x14ac:dyDescent="0.25">
      <c r="A490" t="s">
        <v>556</v>
      </c>
      <c r="B490">
        <v>489</v>
      </c>
      <c r="C490" t="s">
        <v>59</v>
      </c>
      <c r="D490" t="s">
        <v>64</v>
      </c>
      <c r="E490" t="s">
        <v>56</v>
      </c>
      <c r="F490" s="2">
        <v>45783</v>
      </c>
      <c r="G490" s="2">
        <v>45784</v>
      </c>
      <c r="H490" t="s">
        <v>31</v>
      </c>
      <c r="I490" t="s">
        <v>83</v>
      </c>
      <c r="J490" s="2">
        <v>45789</v>
      </c>
      <c r="K490" s="2">
        <v>45789</v>
      </c>
      <c r="L490" t="s">
        <v>26</v>
      </c>
      <c r="M490" t="s">
        <v>57</v>
      </c>
      <c r="O490" t="s">
        <v>81</v>
      </c>
      <c r="Q490">
        <f t="shared" si="28"/>
        <v>1</v>
      </c>
      <c r="R490" s="3">
        <f t="shared" si="29"/>
        <v>6</v>
      </c>
      <c r="S490">
        <f t="shared" si="30"/>
        <v>0</v>
      </c>
      <c r="T490">
        <f t="shared" si="31"/>
        <v>0</v>
      </c>
    </row>
    <row r="491" spans="1:20" x14ac:dyDescent="0.25">
      <c r="A491" t="s">
        <v>557</v>
      </c>
      <c r="B491">
        <v>490</v>
      </c>
      <c r="C491" t="s">
        <v>21</v>
      </c>
      <c r="D491" t="s">
        <v>30</v>
      </c>
      <c r="E491" t="s">
        <v>23</v>
      </c>
      <c r="F491" s="2">
        <v>45873</v>
      </c>
      <c r="G491" s="2">
        <v>45875</v>
      </c>
      <c r="H491" t="s">
        <v>45</v>
      </c>
      <c r="I491" t="s">
        <v>54</v>
      </c>
      <c r="J491" s="2">
        <v>45877</v>
      </c>
      <c r="K491" s="2">
        <v>45877</v>
      </c>
      <c r="L491" t="s">
        <v>26</v>
      </c>
      <c r="M491" t="s">
        <v>57</v>
      </c>
      <c r="O491" t="s">
        <v>37</v>
      </c>
      <c r="Q491">
        <f t="shared" si="28"/>
        <v>1</v>
      </c>
      <c r="R491" s="3">
        <f t="shared" si="29"/>
        <v>4</v>
      </c>
      <c r="S491">
        <f t="shared" si="30"/>
        <v>0</v>
      </c>
      <c r="T491">
        <f t="shared" si="31"/>
        <v>0</v>
      </c>
    </row>
    <row r="492" spans="1:20" x14ac:dyDescent="0.25">
      <c r="A492" t="s">
        <v>558</v>
      </c>
      <c r="B492">
        <v>491</v>
      </c>
      <c r="C492" t="s">
        <v>36</v>
      </c>
      <c r="D492" t="s">
        <v>22</v>
      </c>
      <c r="E492" t="s">
        <v>40</v>
      </c>
      <c r="F492" s="2">
        <v>45940</v>
      </c>
      <c r="G492" s="2">
        <v>45940</v>
      </c>
      <c r="H492" t="s">
        <v>24</v>
      </c>
      <c r="I492" t="s">
        <v>85</v>
      </c>
      <c r="J492" s="2">
        <v>45946</v>
      </c>
      <c r="K492" s="2">
        <v>45946</v>
      </c>
      <c r="L492" t="s">
        <v>46</v>
      </c>
      <c r="M492" t="s">
        <v>57</v>
      </c>
      <c r="O492" t="s">
        <v>37</v>
      </c>
      <c r="Q492">
        <f t="shared" si="28"/>
        <v>1</v>
      </c>
      <c r="R492" s="3">
        <f t="shared" si="29"/>
        <v>6</v>
      </c>
      <c r="S492">
        <f t="shared" si="30"/>
        <v>0</v>
      </c>
      <c r="T492">
        <f t="shared" si="31"/>
        <v>1</v>
      </c>
    </row>
    <row r="493" spans="1:20" x14ac:dyDescent="0.25">
      <c r="A493" t="s">
        <v>559</v>
      </c>
      <c r="B493">
        <v>492</v>
      </c>
      <c r="C493" t="s">
        <v>36</v>
      </c>
      <c r="D493" t="s">
        <v>22</v>
      </c>
      <c r="E493" t="s">
        <v>60</v>
      </c>
      <c r="F493" s="2">
        <v>45894</v>
      </c>
      <c r="G493" s="2">
        <v>45894</v>
      </c>
      <c r="H493" t="s">
        <v>41</v>
      </c>
      <c r="I493" t="s">
        <v>85</v>
      </c>
      <c r="J493" s="2">
        <v>45898</v>
      </c>
      <c r="K493" s="2">
        <v>45898</v>
      </c>
      <c r="L493" t="s">
        <v>26</v>
      </c>
      <c r="M493" t="s">
        <v>27</v>
      </c>
      <c r="O493" t="s">
        <v>37</v>
      </c>
      <c r="P493" t="s">
        <v>71</v>
      </c>
      <c r="Q493">
        <f t="shared" si="28"/>
        <v>1</v>
      </c>
      <c r="R493" s="3">
        <f t="shared" si="29"/>
        <v>4</v>
      </c>
      <c r="S493">
        <f t="shared" si="30"/>
        <v>0</v>
      </c>
      <c r="T493">
        <f t="shared" si="31"/>
        <v>0</v>
      </c>
    </row>
    <row r="494" spans="1:20" x14ac:dyDescent="0.25">
      <c r="A494" t="s">
        <v>560</v>
      </c>
      <c r="B494">
        <v>493</v>
      </c>
      <c r="C494" t="s">
        <v>51</v>
      </c>
      <c r="D494" t="s">
        <v>52</v>
      </c>
      <c r="E494" t="s">
        <v>56</v>
      </c>
      <c r="F494" s="2">
        <v>45972</v>
      </c>
      <c r="G494" s="2">
        <v>45973</v>
      </c>
      <c r="H494" t="s">
        <v>31</v>
      </c>
      <c r="I494" t="s">
        <v>73</v>
      </c>
      <c r="J494" s="2">
        <v>45977</v>
      </c>
      <c r="K494" s="2">
        <v>45977</v>
      </c>
      <c r="L494" t="s">
        <v>26</v>
      </c>
      <c r="M494" t="s">
        <v>57</v>
      </c>
      <c r="O494" t="s">
        <v>81</v>
      </c>
      <c r="Q494">
        <f t="shared" si="28"/>
        <v>1</v>
      </c>
      <c r="R494" s="3">
        <f t="shared" si="29"/>
        <v>5</v>
      </c>
      <c r="S494">
        <f t="shared" si="30"/>
        <v>0</v>
      </c>
      <c r="T494">
        <f t="shared" si="31"/>
        <v>0</v>
      </c>
    </row>
    <row r="495" spans="1:20" x14ac:dyDescent="0.25">
      <c r="A495" t="s">
        <v>561</v>
      </c>
      <c r="B495">
        <v>494</v>
      </c>
      <c r="C495" t="s">
        <v>21</v>
      </c>
      <c r="D495" t="s">
        <v>30</v>
      </c>
      <c r="E495" t="s">
        <v>60</v>
      </c>
      <c r="F495" s="2">
        <v>45698</v>
      </c>
      <c r="G495" s="2">
        <v>45699</v>
      </c>
      <c r="H495" t="s">
        <v>31</v>
      </c>
      <c r="I495" t="s">
        <v>62</v>
      </c>
      <c r="J495" s="2">
        <v>45700</v>
      </c>
      <c r="K495" s="2">
        <v>45700</v>
      </c>
      <c r="L495" t="s">
        <v>26</v>
      </c>
      <c r="M495" t="s">
        <v>57</v>
      </c>
      <c r="O495" t="s">
        <v>81</v>
      </c>
      <c r="Q495">
        <f t="shared" si="28"/>
        <v>1</v>
      </c>
      <c r="R495" s="3">
        <f t="shared" si="29"/>
        <v>2</v>
      </c>
      <c r="S495">
        <f t="shared" si="30"/>
        <v>0</v>
      </c>
      <c r="T495">
        <f t="shared" si="31"/>
        <v>0</v>
      </c>
    </row>
    <row r="496" spans="1:20" x14ac:dyDescent="0.25">
      <c r="A496" t="s">
        <v>562</v>
      </c>
      <c r="B496">
        <v>495</v>
      </c>
      <c r="C496" t="s">
        <v>51</v>
      </c>
      <c r="D496" t="s">
        <v>52</v>
      </c>
      <c r="E496" t="s">
        <v>53</v>
      </c>
      <c r="F496" s="2">
        <v>45904</v>
      </c>
      <c r="G496" s="2">
        <v>45905</v>
      </c>
      <c r="H496" t="s">
        <v>31</v>
      </c>
      <c r="I496" t="s">
        <v>42</v>
      </c>
      <c r="J496" s="2">
        <v>45909</v>
      </c>
      <c r="K496" s="2">
        <v>45909</v>
      </c>
      <c r="L496" t="s">
        <v>26</v>
      </c>
      <c r="M496" t="s">
        <v>27</v>
      </c>
      <c r="O496" t="s">
        <v>43</v>
      </c>
      <c r="P496" t="s">
        <v>93</v>
      </c>
      <c r="Q496">
        <f t="shared" si="28"/>
        <v>1</v>
      </c>
      <c r="R496" s="3">
        <f t="shared" si="29"/>
        <v>5</v>
      </c>
      <c r="S496">
        <f t="shared" si="30"/>
        <v>0</v>
      </c>
      <c r="T496">
        <f t="shared" si="31"/>
        <v>0</v>
      </c>
    </row>
    <row r="497" spans="1:20" x14ac:dyDescent="0.25">
      <c r="A497" t="s">
        <v>563</v>
      </c>
      <c r="B497">
        <v>496</v>
      </c>
      <c r="C497" t="s">
        <v>21</v>
      </c>
      <c r="D497" t="s">
        <v>39</v>
      </c>
      <c r="E497" t="s">
        <v>40</v>
      </c>
      <c r="F497" s="2">
        <v>46000</v>
      </c>
      <c r="G497" s="2">
        <v>46001</v>
      </c>
      <c r="H497" t="s">
        <v>24</v>
      </c>
      <c r="I497" t="s">
        <v>62</v>
      </c>
      <c r="J497" s="2">
        <v>46004</v>
      </c>
      <c r="K497" s="2">
        <v>46004</v>
      </c>
      <c r="L497" t="s">
        <v>26</v>
      </c>
      <c r="M497" t="s">
        <v>57</v>
      </c>
      <c r="O497" t="s">
        <v>81</v>
      </c>
      <c r="Q497">
        <f t="shared" si="28"/>
        <v>1</v>
      </c>
      <c r="R497" s="3">
        <f t="shared" si="29"/>
        <v>4</v>
      </c>
      <c r="S497">
        <f t="shared" si="30"/>
        <v>0</v>
      </c>
      <c r="T497">
        <f t="shared" si="31"/>
        <v>0</v>
      </c>
    </row>
    <row r="498" spans="1:20" x14ac:dyDescent="0.25">
      <c r="A498" t="s">
        <v>564</v>
      </c>
      <c r="B498">
        <v>497</v>
      </c>
      <c r="C498" t="s">
        <v>21</v>
      </c>
      <c r="D498" t="s">
        <v>30</v>
      </c>
      <c r="E498" t="s">
        <v>40</v>
      </c>
      <c r="F498" s="2">
        <v>45719</v>
      </c>
      <c r="G498" s="2">
        <v>45721</v>
      </c>
      <c r="H498" t="s">
        <v>31</v>
      </c>
      <c r="I498" t="s">
        <v>85</v>
      </c>
      <c r="J498" s="2">
        <v>45724</v>
      </c>
      <c r="K498" s="2">
        <v>45728</v>
      </c>
      <c r="L498" t="s">
        <v>26</v>
      </c>
      <c r="M498" t="s">
        <v>32</v>
      </c>
      <c r="N498" t="s">
        <v>49</v>
      </c>
      <c r="O498" t="s">
        <v>37</v>
      </c>
      <c r="Q498">
        <f t="shared" si="28"/>
        <v>0</v>
      </c>
      <c r="R498" s="3">
        <f t="shared" si="29"/>
        <v>5</v>
      </c>
      <c r="S498">
        <f t="shared" si="30"/>
        <v>1</v>
      </c>
      <c r="T498">
        <f t="shared" si="31"/>
        <v>0</v>
      </c>
    </row>
    <row r="499" spans="1:20" x14ac:dyDescent="0.25">
      <c r="A499" t="s">
        <v>565</v>
      </c>
      <c r="B499">
        <v>498</v>
      </c>
      <c r="C499" t="s">
        <v>78</v>
      </c>
      <c r="D499" t="s">
        <v>30</v>
      </c>
      <c r="E499" t="s">
        <v>60</v>
      </c>
      <c r="F499" s="2">
        <v>45849</v>
      </c>
      <c r="G499" s="2">
        <v>45849</v>
      </c>
      <c r="H499" t="s">
        <v>61</v>
      </c>
      <c r="I499" t="s">
        <v>62</v>
      </c>
      <c r="J499" s="2">
        <v>45852</v>
      </c>
      <c r="K499" s="2">
        <v>45852</v>
      </c>
      <c r="L499" t="s">
        <v>26</v>
      </c>
      <c r="M499" t="s">
        <v>27</v>
      </c>
      <c r="O499" t="s">
        <v>28</v>
      </c>
      <c r="Q499">
        <f t="shared" si="28"/>
        <v>1</v>
      </c>
      <c r="R499" s="3">
        <f t="shared" si="29"/>
        <v>3</v>
      </c>
      <c r="S499">
        <f t="shared" si="30"/>
        <v>0</v>
      </c>
      <c r="T499">
        <f t="shared" si="31"/>
        <v>0</v>
      </c>
    </row>
    <row r="500" spans="1:20" x14ac:dyDescent="0.25">
      <c r="A500" t="s">
        <v>566</v>
      </c>
      <c r="B500">
        <v>499</v>
      </c>
      <c r="C500" t="s">
        <v>36</v>
      </c>
      <c r="D500" t="s">
        <v>39</v>
      </c>
      <c r="E500" t="s">
        <v>56</v>
      </c>
      <c r="F500" s="2">
        <v>45928</v>
      </c>
      <c r="G500" s="2">
        <v>45929</v>
      </c>
      <c r="H500" t="s">
        <v>31</v>
      </c>
      <c r="I500" t="s">
        <v>54</v>
      </c>
      <c r="J500" s="2">
        <v>45930</v>
      </c>
      <c r="K500" s="2">
        <v>45933</v>
      </c>
      <c r="L500" t="s">
        <v>26</v>
      </c>
      <c r="M500" t="s">
        <v>32</v>
      </c>
      <c r="N500" t="s">
        <v>33</v>
      </c>
      <c r="O500" t="s">
        <v>81</v>
      </c>
      <c r="Q500">
        <f t="shared" si="28"/>
        <v>0</v>
      </c>
      <c r="R500" s="3">
        <f t="shared" si="29"/>
        <v>2</v>
      </c>
      <c r="S500">
        <f t="shared" si="30"/>
        <v>1</v>
      </c>
      <c r="T500">
        <f t="shared" si="31"/>
        <v>0</v>
      </c>
    </row>
    <row r="501" spans="1:20" x14ac:dyDescent="0.25">
      <c r="A501" t="s">
        <v>567</v>
      </c>
      <c r="B501">
        <v>500</v>
      </c>
      <c r="C501" t="s">
        <v>36</v>
      </c>
      <c r="D501" t="s">
        <v>39</v>
      </c>
      <c r="E501" t="s">
        <v>40</v>
      </c>
      <c r="F501" s="2">
        <v>45793</v>
      </c>
      <c r="G501" s="2">
        <v>45793</v>
      </c>
      <c r="H501" t="s">
        <v>61</v>
      </c>
      <c r="I501" t="s">
        <v>85</v>
      </c>
      <c r="J501" s="2">
        <v>45795</v>
      </c>
      <c r="K501" s="2">
        <v>45795</v>
      </c>
      <c r="L501" t="s">
        <v>26</v>
      </c>
      <c r="M501" t="s">
        <v>27</v>
      </c>
      <c r="O501" t="s">
        <v>34</v>
      </c>
      <c r="Q501">
        <f t="shared" si="28"/>
        <v>1</v>
      </c>
      <c r="R501" s="3">
        <f t="shared" si="29"/>
        <v>2</v>
      </c>
      <c r="S501">
        <f t="shared" si="30"/>
        <v>0</v>
      </c>
      <c r="T501">
        <f t="shared" si="31"/>
        <v>0</v>
      </c>
    </row>
    <row r="502" spans="1:20" x14ac:dyDescent="0.25">
      <c r="A502" t="s">
        <v>568</v>
      </c>
      <c r="B502">
        <v>501</v>
      </c>
      <c r="C502" t="s">
        <v>59</v>
      </c>
      <c r="D502" t="s">
        <v>22</v>
      </c>
      <c r="E502" t="s">
        <v>56</v>
      </c>
      <c r="F502" s="2">
        <v>46007</v>
      </c>
      <c r="G502" s="2">
        <v>46008</v>
      </c>
      <c r="H502" t="s">
        <v>41</v>
      </c>
      <c r="I502" t="s">
        <v>62</v>
      </c>
      <c r="J502" s="2">
        <v>46012</v>
      </c>
      <c r="K502" s="2">
        <v>46012</v>
      </c>
      <c r="L502" t="s">
        <v>26</v>
      </c>
      <c r="M502" t="s">
        <v>27</v>
      </c>
      <c r="O502" t="s">
        <v>81</v>
      </c>
      <c r="P502" t="s">
        <v>71</v>
      </c>
      <c r="Q502">
        <f t="shared" si="28"/>
        <v>1</v>
      </c>
      <c r="R502" s="3">
        <f t="shared" si="29"/>
        <v>5</v>
      </c>
      <c r="S502">
        <f t="shared" si="30"/>
        <v>0</v>
      </c>
      <c r="T502">
        <f t="shared" si="31"/>
        <v>0</v>
      </c>
    </row>
    <row r="503" spans="1:20" x14ac:dyDescent="0.25">
      <c r="A503" t="s">
        <v>569</v>
      </c>
      <c r="B503">
        <v>502</v>
      </c>
      <c r="C503" t="s">
        <v>59</v>
      </c>
      <c r="D503" t="s">
        <v>30</v>
      </c>
      <c r="E503" t="s">
        <v>40</v>
      </c>
      <c r="F503" s="2">
        <v>45858</v>
      </c>
      <c r="G503" s="2">
        <v>45858</v>
      </c>
      <c r="H503" t="s">
        <v>24</v>
      </c>
      <c r="I503" t="s">
        <v>42</v>
      </c>
      <c r="J503" s="2">
        <v>45860</v>
      </c>
      <c r="K503" s="2">
        <v>45861</v>
      </c>
      <c r="L503" t="s">
        <v>26</v>
      </c>
      <c r="M503" t="s">
        <v>32</v>
      </c>
      <c r="N503" t="s">
        <v>33</v>
      </c>
      <c r="O503" t="s">
        <v>37</v>
      </c>
      <c r="Q503">
        <f t="shared" si="28"/>
        <v>0</v>
      </c>
      <c r="R503" s="3">
        <f t="shared" si="29"/>
        <v>2</v>
      </c>
      <c r="S503">
        <f t="shared" si="30"/>
        <v>1</v>
      </c>
      <c r="T503">
        <f t="shared" si="31"/>
        <v>0</v>
      </c>
    </row>
    <row r="504" spans="1:20" x14ac:dyDescent="0.25">
      <c r="A504" t="s">
        <v>570</v>
      </c>
      <c r="B504">
        <v>503</v>
      </c>
      <c r="C504" t="s">
        <v>51</v>
      </c>
      <c r="D504" t="s">
        <v>52</v>
      </c>
      <c r="E504" t="s">
        <v>23</v>
      </c>
      <c r="F504" s="2">
        <v>45864</v>
      </c>
      <c r="G504" s="2">
        <v>45865</v>
      </c>
      <c r="H504" t="s">
        <v>61</v>
      </c>
      <c r="I504" t="s">
        <v>54</v>
      </c>
      <c r="J504" s="2">
        <v>45868</v>
      </c>
      <c r="K504" s="2">
        <v>45871</v>
      </c>
      <c r="L504" t="s">
        <v>26</v>
      </c>
      <c r="M504" t="s">
        <v>32</v>
      </c>
      <c r="N504" t="s">
        <v>67</v>
      </c>
      <c r="O504" t="s">
        <v>81</v>
      </c>
      <c r="Q504">
        <f t="shared" si="28"/>
        <v>0</v>
      </c>
      <c r="R504" s="3">
        <f t="shared" si="29"/>
        <v>4</v>
      </c>
      <c r="S504">
        <f t="shared" si="30"/>
        <v>1</v>
      </c>
      <c r="T504">
        <f t="shared" si="31"/>
        <v>0</v>
      </c>
    </row>
    <row r="505" spans="1:20" x14ac:dyDescent="0.25">
      <c r="A505" t="s">
        <v>571</v>
      </c>
      <c r="B505">
        <v>504</v>
      </c>
      <c r="C505" t="s">
        <v>21</v>
      </c>
      <c r="D505" t="s">
        <v>52</v>
      </c>
      <c r="E505" t="s">
        <v>23</v>
      </c>
      <c r="F505" s="2">
        <v>45994</v>
      </c>
      <c r="G505" s="2">
        <v>45996</v>
      </c>
      <c r="H505" t="s">
        <v>31</v>
      </c>
      <c r="I505" t="s">
        <v>54</v>
      </c>
      <c r="J505" s="2">
        <v>45997</v>
      </c>
      <c r="K505" s="2">
        <v>45997</v>
      </c>
      <c r="L505" t="s">
        <v>26</v>
      </c>
      <c r="M505" t="s">
        <v>57</v>
      </c>
      <c r="O505" t="s">
        <v>34</v>
      </c>
      <c r="P505" t="s">
        <v>88</v>
      </c>
      <c r="Q505">
        <f t="shared" si="28"/>
        <v>1</v>
      </c>
      <c r="R505" s="3">
        <f t="shared" si="29"/>
        <v>3</v>
      </c>
      <c r="S505">
        <f t="shared" si="30"/>
        <v>0</v>
      </c>
      <c r="T505">
        <f t="shared" si="31"/>
        <v>0</v>
      </c>
    </row>
    <row r="506" spans="1:20" x14ac:dyDescent="0.25">
      <c r="A506" t="s">
        <v>572</v>
      </c>
      <c r="B506">
        <v>505</v>
      </c>
      <c r="C506" t="s">
        <v>21</v>
      </c>
      <c r="D506" t="s">
        <v>39</v>
      </c>
      <c r="E506" t="s">
        <v>60</v>
      </c>
      <c r="F506" s="2">
        <v>45674</v>
      </c>
      <c r="G506" s="2">
        <v>45674</v>
      </c>
      <c r="H506" t="s">
        <v>61</v>
      </c>
      <c r="I506" t="s">
        <v>83</v>
      </c>
      <c r="J506" s="2">
        <v>45678</v>
      </c>
      <c r="K506" s="2">
        <v>45678</v>
      </c>
      <c r="L506" t="s">
        <v>26</v>
      </c>
      <c r="M506" t="s">
        <v>57</v>
      </c>
      <c r="O506" t="s">
        <v>37</v>
      </c>
      <c r="P506" t="s">
        <v>76</v>
      </c>
      <c r="Q506">
        <f t="shared" si="28"/>
        <v>1</v>
      </c>
      <c r="R506" s="3">
        <f t="shared" si="29"/>
        <v>4</v>
      </c>
      <c r="S506">
        <f t="shared" si="30"/>
        <v>0</v>
      </c>
      <c r="T506">
        <f t="shared" si="31"/>
        <v>0</v>
      </c>
    </row>
    <row r="507" spans="1:20" x14ac:dyDescent="0.25">
      <c r="A507" t="s">
        <v>573</v>
      </c>
      <c r="B507">
        <v>506</v>
      </c>
      <c r="C507" t="s">
        <v>59</v>
      </c>
      <c r="D507" t="s">
        <v>64</v>
      </c>
      <c r="E507" t="s">
        <v>23</v>
      </c>
      <c r="F507" s="2">
        <v>45975</v>
      </c>
      <c r="G507" s="2">
        <v>45976</v>
      </c>
      <c r="H507" t="s">
        <v>41</v>
      </c>
      <c r="I507" t="s">
        <v>73</v>
      </c>
      <c r="J507" s="2">
        <v>45981</v>
      </c>
      <c r="K507" s="2">
        <v>45981</v>
      </c>
      <c r="L507" t="s">
        <v>26</v>
      </c>
      <c r="M507" t="s">
        <v>57</v>
      </c>
      <c r="O507" t="s">
        <v>81</v>
      </c>
      <c r="Q507">
        <f t="shared" si="28"/>
        <v>1</v>
      </c>
      <c r="R507" s="3">
        <f t="shared" si="29"/>
        <v>6</v>
      </c>
      <c r="S507">
        <f t="shared" si="30"/>
        <v>0</v>
      </c>
      <c r="T507">
        <f t="shared" si="31"/>
        <v>0</v>
      </c>
    </row>
    <row r="508" spans="1:20" x14ac:dyDescent="0.25">
      <c r="A508" t="s">
        <v>574</v>
      </c>
      <c r="B508">
        <v>507</v>
      </c>
      <c r="C508" t="s">
        <v>78</v>
      </c>
      <c r="D508" t="s">
        <v>39</v>
      </c>
      <c r="E508" t="s">
        <v>23</v>
      </c>
      <c r="F508" s="2">
        <v>45721</v>
      </c>
      <c r="G508" s="2">
        <v>45723</v>
      </c>
      <c r="H508" t="s">
        <v>61</v>
      </c>
      <c r="I508" t="s">
        <v>83</v>
      </c>
      <c r="J508" s="2">
        <v>45726</v>
      </c>
      <c r="K508" s="2">
        <v>45726</v>
      </c>
      <c r="L508" t="s">
        <v>46</v>
      </c>
      <c r="M508" t="s">
        <v>57</v>
      </c>
      <c r="O508" t="s">
        <v>34</v>
      </c>
      <c r="Q508">
        <f t="shared" si="28"/>
        <v>1</v>
      </c>
      <c r="R508" s="3">
        <f t="shared" si="29"/>
        <v>5</v>
      </c>
      <c r="S508">
        <f t="shared" si="30"/>
        <v>0</v>
      </c>
      <c r="T508">
        <f t="shared" si="31"/>
        <v>1</v>
      </c>
    </row>
    <row r="509" spans="1:20" x14ac:dyDescent="0.25">
      <c r="A509" t="s">
        <v>575</v>
      </c>
      <c r="B509">
        <v>508</v>
      </c>
      <c r="C509" t="s">
        <v>59</v>
      </c>
      <c r="D509" t="s">
        <v>30</v>
      </c>
      <c r="E509" t="s">
        <v>23</v>
      </c>
      <c r="F509" s="2">
        <v>45825</v>
      </c>
      <c r="G509" s="2">
        <v>45825</v>
      </c>
      <c r="H509" t="s">
        <v>24</v>
      </c>
      <c r="I509" t="s">
        <v>62</v>
      </c>
      <c r="J509" s="2">
        <v>45826</v>
      </c>
      <c r="K509" s="2">
        <v>45826</v>
      </c>
      <c r="L509" t="s">
        <v>26</v>
      </c>
      <c r="M509" t="s">
        <v>27</v>
      </c>
      <c r="O509" t="s">
        <v>43</v>
      </c>
      <c r="P509" t="s">
        <v>93</v>
      </c>
      <c r="Q509">
        <f t="shared" si="28"/>
        <v>1</v>
      </c>
      <c r="R509" s="3">
        <f t="shared" si="29"/>
        <v>1</v>
      </c>
      <c r="S509">
        <f t="shared" si="30"/>
        <v>0</v>
      </c>
      <c r="T509">
        <f t="shared" si="31"/>
        <v>0</v>
      </c>
    </row>
    <row r="510" spans="1:20" x14ac:dyDescent="0.25">
      <c r="A510" t="s">
        <v>576</v>
      </c>
      <c r="B510">
        <v>509</v>
      </c>
      <c r="C510" t="s">
        <v>21</v>
      </c>
      <c r="D510" t="s">
        <v>39</v>
      </c>
      <c r="E510" t="s">
        <v>60</v>
      </c>
      <c r="F510" s="2">
        <v>45866</v>
      </c>
      <c r="G510" s="2">
        <v>45868</v>
      </c>
      <c r="H510" t="s">
        <v>61</v>
      </c>
      <c r="I510" t="s">
        <v>25</v>
      </c>
      <c r="J510" s="2">
        <v>45873</v>
      </c>
      <c r="K510" s="2">
        <v>45873</v>
      </c>
      <c r="L510" t="s">
        <v>26</v>
      </c>
      <c r="M510" t="s">
        <v>57</v>
      </c>
      <c r="O510" t="s">
        <v>37</v>
      </c>
      <c r="P510" t="s">
        <v>88</v>
      </c>
      <c r="Q510">
        <f t="shared" si="28"/>
        <v>1</v>
      </c>
      <c r="R510" s="3">
        <f t="shared" si="29"/>
        <v>7</v>
      </c>
      <c r="S510">
        <f t="shared" si="30"/>
        <v>0</v>
      </c>
      <c r="T510">
        <f t="shared" si="31"/>
        <v>0</v>
      </c>
    </row>
    <row r="511" spans="1:20" x14ac:dyDescent="0.25">
      <c r="A511" t="s">
        <v>577</v>
      </c>
      <c r="B511">
        <v>510</v>
      </c>
      <c r="C511" t="s">
        <v>21</v>
      </c>
      <c r="D511" t="s">
        <v>22</v>
      </c>
      <c r="E511" t="s">
        <v>40</v>
      </c>
      <c r="F511" s="2">
        <v>45842</v>
      </c>
      <c r="G511" s="2">
        <v>45844</v>
      </c>
      <c r="H511" t="s">
        <v>31</v>
      </c>
      <c r="I511" t="s">
        <v>25</v>
      </c>
      <c r="J511" s="2">
        <v>45845</v>
      </c>
      <c r="K511" s="2">
        <v>45845</v>
      </c>
      <c r="L511" t="s">
        <v>26</v>
      </c>
      <c r="M511" t="s">
        <v>27</v>
      </c>
      <c r="O511" t="s">
        <v>69</v>
      </c>
      <c r="Q511">
        <f t="shared" si="28"/>
        <v>1</v>
      </c>
      <c r="R511" s="3">
        <f t="shared" si="29"/>
        <v>3</v>
      </c>
      <c r="S511">
        <f t="shared" si="30"/>
        <v>0</v>
      </c>
      <c r="T511">
        <f t="shared" si="31"/>
        <v>0</v>
      </c>
    </row>
    <row r="512" spans="1:20" x14ac:dyDescent="0.25">
      <c r="A512" t="s">
        <v>578</v>
      </c>
      <c r="B512">
        <v>511</v>
      </c>
      <c r="C512" t="s">
        <v>21</v>
      </c>
      <c r="D512" t="s">
        <v>64</v>
      </c>
      <c r="E512" t="s">
        <v>56</v>
      </c>
      <c r="F512" s="2">
        <v>45682</v>
      </c>
      <c r="G512" s="2">
        <v>45683</v>
      </c>
      <c r="H512" t="s">
        <v>45</v>
      </c>
      <c r="I512" t="s">
        <v>54</v>
      </c>
      <c r="J512" s="2">
        <v>45687</v>
      </c>
      <c r="K512" s="2">
        <v>45687</v>
      </c>
      <c r="L512" t="s">
        <v>26</v>
      </c>
      <c r="M512" t="s">
        <v>57</v>
      </c>
      <c r="O512" t="s">
        <v>81</v>
      </c>
      <c r="Q512">
        <f t="shared" si="28"/>
        <v>1</v>
      </c>
      <c r="R512" s="3">
        <f t="shared" si="29"/>
        <v>5</v>
      </c>
      <c r="S512">
        <f t="shared" si="30"/>
        <v>0</v>
      </c>
      <c r="T512">
        <f t="shared" si="31"/>
        <v>0</v>
      </c>
    </row>
    <row r="513" spans="1:20" x14ac:dyDescent="0.25">
      <c r="A513" t="s">
        <v>579</v>
      </c>
      <c r="B513">
        <v>512</v>
      </c>
      <c r="C513" t="s">
        <v>78</v>
      </c>
      <c r="D513" t="s">
        <v>52</v>
      </c>
      <c r="E513" t="s">
        <v>56</v>
      </c>
      <c r="F513" s="2">
        <v>45787</v>
      </c>
      <c r="G513" s="2">
        <v>45789</v>
      </c>
      <c r="H513" t="s">
        <v>41</v>
      </c>
      <c r="I513" t="s">
        <v>54</v>
      </c>
      <c r="J513" s="2">
        <v>45790</v>
      </c>
      <c r="K513" s="2">
        <v>45791</v>
      </c>
      <c r="L513" t="s">
        <v>26</v>
      </c>
      <c r="M513" t="s">
        <v>57</v>
      </c>
      <c r="O513" t="s">
        <v>81</v>
      </c>
      <c r="Q513">
        <f t="shared" si="28"/>
        <v>0</v>
      </c>
      <c r="R513" s="3">
        <f t="shared" si="29"/>
        <v>3</v>
      </c>
      <c r="S513">
        <f t="shared" si="30"/>
        <v>0</v>
      </c>
      <c r="T513">
        <f t="shared" si="31"/>
        <v>0</v>
      </c>
    </row>
    <row r="514" spans="1:20" x14ac:dyDescent="0.25">
      <c r="A514" t="s">
        <v>580</v>
      </c>
      <c r="B514">
        <v>513</v>
      </c>
      <c r="C514" t="s">
        <v>51</v>
      </c>
      <c r="D514" t="s">
        <v>39</v>
      </c>
      <c r="E514" t="s">
        <v>60</v>
      </c>
      <c r="F514" s="2">
        <v>45810</v>
      </c>
      <c r="G514" s="2">
        <v>45812</v>
      </c>
      <c r="H514" t="s">
        <v>61</v>
      </c>
      <c r="I514" t="s">
        <v>54</v>
      </c>
      <c r="J514" s="2">
        <v>45816</v>
      </c>
      <c r="K514" s="2">
        <v>45816</v>
      </c>
      <c r="L514" t="s">
        <v>26</v>
      </c>
      <c r="M514" t="s">
        <v>57</v>
      </c>
      <c r="O514" t="s">
        <v>43</v>
      </c>
      <c r="Q514">
        <f t="shared" si="28"/>
        <v>1</v>
      </c>
      <c r="R514" s="3">
        <f t="shared" si="29"/>
        <v>6</v>
      </c>
      <c r="S514">
        <f t="shared" si="30"/>
        <v>0</v>
      </c>
      <c r="T514">
        <f t="shared" si="31"/>
        <v>0</v>
      </c>
    </row>
    <row r="515" spans="1:20" x14ac:dyDescent="0.25">
      <c r="A515" t="s">
        <v>581</v>
      </c>
      <c r="B515">
        <v>514</v>
      </c>
      <c r="C515" t="s">
        <v>36</v>
      </c>
      <c r="D515" t="s">
        <v>22</v>
      </c>
      <c r="E515" t="s">
        <v>56</v>
      </c>
      <c r="F515" s="2">
        <v>46017</v>
      </c>
      <c r="G515" s="2">
        <v>46018</v>
      </c>
      <c r="H515" t="s">
        <v>61</v>
      </c>
      <c r="I515" t="s">
        <v>83</v>
      </c>
      <c r="J515" s="2">
        <v>46022</v>
      </c>
      <c r="K515" s="2">
        <v>46022</v>
      </c>
      <c r="L515" t="s">
        <v>46</v>
      </c>
      <c r="M515" t="s">
        <v>57</v>
      </c>
      <c r="O515" t="s">
        <v>37</v>
      </c>
      <c r="P515" t="s">
        <v>71</v>
      </c>
      <c r="Q515">
        <f t="shared" ref="Q515:Q578" si="32">IF(K515&lt;=J515,1,0)</f>
        <v>1</v>
      </c>
      <c r="R515" s="3">
        <f t="shared" ref="R515:R578" si="33">(J515-F515)</f>
        <v>5</v>
      </c>
      <c r="S515">
        <f t="shared" ref="S515:S578" si="34">IF(M515="Delayed",1,0)</f>
        <v>0</v>
      </c>
      <c r="T515">
        <f t="shared" ref="T515:T578" si="35">IF(L515="n",1,0)</f>
        <v>1</v>
      </c>
    </row>
    <row r="516" spans="1:20" x14ac:dyDescent="0.25">
      <c r="A516" t="s">
        <v>582</v>
      </c>
      <c r="B516">
        <v>515</v>
      </c>
      <c r="C516" t="s">
        <v>78</v>
      </c>
      <c r="D516" t="s">
        <v>22</v>
      </c>
      <c r="E516" t="s">
        <v>40</v>
      </c>
      <c r="F516" s="2">
        <v>45995</v>
      </c>
      <c r="G516" s="2">
        <v>45997</v>
      </c>
      <c r="H516" t="s">
        <v>45</v>
      </c>
      <c r="I516" t="s">
        <v>25</v>
      </c>
      <c r="J516" s="2">
        <v>46002</v>
      </c>
      <c r="K516" s="2">
        <v>46002</v>
      </c>
      <c r="L516" t="s">
        <v>26</v>
      </c>
      <c r="M516" t="s">
        <v>27</v>
      </c>
      <c r="O516" t="s">
        <v>81</v>
      </c>
      <c r="Q516">
        <f t="shared" si="32"/>
        <v>1</v>
      </c>
      <c r="R516" s="3">
        <f t="shared" si="33"/>
        <v>7</v>
      </c>
      <c r="S516">
        <f t="shared" si="34"/>
        <v>0</v>
      </c>
      <c r="T516">
        <f t="shared" si="35"/>
        <v>0</v>
      </c>
    </row>
    <row r="517" spans="1:20" x14ac:dyDescent="0.25">
      <c r="A517" t="s">
        <v>583</v>
      </c>
      <c r="B517">
        <v>516</v>
      </c>
      <c r="C517" t="s">
        <v>59</v>
      </c>
      <c r="D517" t="s">
        <v>22</v>
      </c>
      <c r="E517" t="s">
        <v>40</v>
      </c>
      <c r="F517" s="2">
        <v>45896</v>
      </c>
      <c r="G517" s="2">
        <v>45896</v>
      </c>
      <c r="H517" t="s">
        <v>45</v>
      </c>
      <c r="I517" t="s">
        <v>83</v>
      </c>
      <c r="J517" s="2">
        <v>45898</v>
      </c>
      <c r="K517" s="2">
        <v>45898</v>
      </c>
      <c r="L517" t="s">
        <v>26</v>
      </c>
      <c r="M517" t="s">
        <v>27</v>
      </c>
      <c r="O517" t="s">
        <v>43</v>
      </c>
      <c r="Q517">
        <f t="shared" si="32"/>
        <v>1</v>
      </c>
      <c r="R517" s="3">
        <f t="shared" si="33"/>
        <v>2</v>
      </c>
      <c r="S517">
        <f t="shared" si="34"/>
        <v>0</v>
      </c>
      <c r="T517">
        <f t="shared" si="35"/>
        <v>0</v>
      </c>
    </row>
    <row r="518" spans="1:20" x14ac:dyDescent="0.25">
      <c r="A518" t="s">
        <v>584</v>
      </c>
      <c r="B518">
        <v>517</v>
      </c>
      <c r="C518" t="s">
        <v>36</v>
      </c>
      <c r="D518" t="s">
        <v>52</v>
      </c>
      <c r="E518" t="s">
        <v>40</v>
      </c>
      <c r="F518" s="2">
        <v>45995</v>
      </c>
      <c r="G518" s="2">
        <v>45996</v>
      </c>
      <c r="H518" t="s">
        <v>61</v>
      </c>
      <c r="I518" t="s">
        <v>25</v>
      </c>
      <c r="J518" s="2">
        <v>46000</v>
      </c>
      <c r="K518" s="2">
        <v>46000</v>
      </c>
      <c r="L518" t="s">
        <v>26</v>
      </c>
      <c r="M518" t="s">
        <v>57</v>
      </c>
      <c r="O518" t="s">
        <v>43</v>
      </c>
      <c r="Q518">
        <f t="shared" si="32"/>
        <v>1</v>
      </c>
      <c r="R518" s="3">
        <f t="shared" si="33"/>
        <v>5</v>
      </c>
      <c r="S518">
        <f t="shared" si="34"/>
        <v>0</v>
      </c>
      <c r="T518">
        <f t="shared" si="35"/>
        <v>0</v>
      </c>
    </row>
    <row r="519" spans="1:20" x14ac:dyDescent="0.25">
      <c r="A519" t="s">
        <v>585</v>
      </c>
      <c r="B519">
        <v>518</v>
      </c>
      <c r="C519" t="s">
        <v>36</v>
      </c>
      <c r="D519" t="s">
        <v>52</v>
      </c>
      <c r="E519" t="s">
        <v>56</v>
      </c>
      <c r="F519" s="2">
        <v>45984</v>
      </c>
      <c r="G519" s="2">
        <v>45985</v>
      </c>
      <c r="H519" t="s">
        <v>61</v>
      </c>
      <c r="I519" t="s">
        <v>62</v>
      </c>
      <c r="J519" s="2">
        <v>45987</v>
      </c>
      <c r="K519" s="2">
        <v>45987</v>
      </c>
      <c r="L519" t="s">
        <v>26</v>
      </c>
      <c r="M519" t="s">
        <v>57</v>
      </c>
      <c r="O519" t="s">
        <v>37</v>
      </c>
      <c r="P519" t="s">
        <v>93</v>
      </c>
      <c r="Q519">
        <f t="shared" si="32"/>
        <v>1</v>
      </c>
      <c r="R519" s="3">
        <f t="shared" si="33"/>
        <v>3</v>
      </c>
      <c r="S519">
        <f t="shared" si="34"/>
        <v>0</v>
      </c>
      <c r="T519">
        <f t="shared" si="35"/>
        <v>0</v>
      </c>
    </row>
    <row r="520" spans="1:20" x14ac:dyDescent="0.25">
      <c r="A520" t="s">
        <v>586</v>
      </c>
      <c r="B520">
        <v>519</v>
      </c>
      <c r="C520" t="s">
        <v>36</v>
      </c>
      <c r="D520" t="s">
        <v>39</v>
      </c>
      <c r="E520" t="s">
        <v>40</v>
      </c>
      <c r="F520" s="2">
        <v>45813</v>
      </c>
      <c r="G520" s="2">
        <v>45814</v>
      </c>
      <c r="H520" t="s">
        <v>24</v>
      </c>
      <c r="I520" t="s">
        <v>73</v>
      </c>
      <c r="J520" s="2">
        <v>45816</v>
      </c>
      <c r="K520" s="2">
        <v>45816</v>
      </c>
      <c r="L520" t="s">
        <v>26</v>
      </c>
      <c r="M520" t="s">
        <v>57</v>
      </c>
      <c r="O520" t="s">
        <v>81</v>
      </c>
      <c r="P520" t="s">
        <v>93</v>
      </c>
      <c r="Q520">
        <f t="shared" si="32"/>
        <v>1</v>
      </c>
      <c r="R520" s="3">
        <f t="shared" si="33"/>
        <v>3</v>
      </c>
      <c r="S520">
        <f t="shared" si="34"/>
        <v>0</v>
      </c>
      <c r="T520">
        <f t="shared" si="35"/>
        <v>0</v>
      </c>
    </row>
    <row r="521" spans="1:20" x14ac:dyDescent="0.25">
      <c r="A521" t="s">
        <v>587</v>
      </c>
      <c r="B521">
        <v>520</v>
      </c>
      <c r="C521" t="s">
        <v>21</v>
      </c>
      <c r="D521" t="s">
        <v>52</v>
      </c>
      <c r="E521" t="s">
        <v>40</v>
      </c>
      <c r="F521" s="2">
        <v>45705</v>
      </c>
      <c r="G521" s="2">
        <v>45707</v>
      </c>
      <c r="H521" t="s">
        <v>24</v>
      </c>
      <c r="I521" t="s">
        <v>83</v>
      </c>
      <c r="J521" s="2">
        <v>45710</v>
      </c>
      <c r="K521" s="2">
        <v>45710</v>
      </c>
      <c r="L521" t="s">
        <v>46</v>
      </c>
      <c r="M521" t="s">
        <v>57</v>
      </c>
      <c r="O521" t="s">
        <v>37</v>
      </c>
      <c r="Q521">
        <f t="shared" si="32"/>
        <v>1</v>
      </c>
      <c r="R521" s="3">
        <f t="shared" si="33"/>
        <v>5</v>
      </c>
      <c r="S521">
        <f t="shared" si="34"/>
        <v>0</v>
      </c>
      <c r="T521">
        <f t="shared" si="35"/>
        <v>1</v>
      </c>
    </row>
    <row r="522" spans="1:20" x14ac:dyDescent="0.25">
      <c r="A522" t="s">
        <v>588</v>
      </c>
      <c r="B522">
        <v>521</v>
      </c>
      <c r="C522" t="s">
        <v>36</v>
      </c>
      <c r="D522" t="s">
        <v>22</v>
      </c>
      <c r="E522" t="s">
        <v>53</v>
      </c>
      <c r="F522" s="2">
        <v>45904</v>
      </c>
      <c r="G522" s="2">
        <v>45905</v>
      </c>
      <c r="H522" t="s">
        <v>24</v>
      </c>
      <c r="I522" t="s">
        <v>85</v>
      </c>
      <c r="J522" s="2">
        <v>45911</v>
      </c>
      <c r="K522" s="2">
        <v>45911</v>
      </c>
      <c r="L522" t="s">
        <v>46</v>
      </c>
      <c r="M522" t="s">
        <v>27</v>
      </c>
      <c r="O522" t="s">
        <v>43</v>
      </c>
      <c r="Q522">
        <f t="shared" si="32"/>
        <v>1</v>
      </c>
      <c r="R522" s="3">
        <f t="shared" si="33"/>
        <v>7</v>
      </c>
      <c r="S522">
        <f t="shared" si="34"/>
        <v>0</v>
      </c>
      <c r="T522">
        <f t="shared" si="35"/>
        <v>1</v>
      </c>
    </row>
    <row r="523" spans="1:20" x14ac:dyDescent="0.25">
      <c r="A523" t="s">
        <v>589</v>
      </c>
      <c r="B523">
        <v>522</v>
      </c>
      <c r="C523" t="s">
        <v>51</v>
      </c>
      <c r="D523" t="s">
        <v>39</v>
      </c>
      <c r="E523" t="s">
        <v>40</v>
      </c>
      <c r="F523" s="2">
        <v>45781</v>
      </c>
      <c r="G523" s="2">
        <v>45783</v>
      </c>
      <c r="H523" t="s">
        <v>45</v>
      </c>
      <c r="I523" t="s">
        <v>85</v>
      </c>
      <c r="J523" s="2">
        <v>45785</v>
      </c>
      <c r="K523" s="2">
        <v>45785</v>
      </c>
      <c r="L523" t="s">
        <v>26</v>
      </c>
      <c r="M523" t="s">
        <v>57</v>
      </c>
      <c r="O523" t="s">
        <v>37</v>
      </c>
      <c r="Q523">
        <f t="shared" si="32"/>
        <v>1</v>
      </c>
      <c r="R523" s="3">
        <f t="shared" si="33"/>
        <v>4</v>
      </c>
      <c r="S523">
        <f t="shared" si="34"/>
        <v>0</v>
      </c>
      <c r="T523">
        <f t="shared" si="35"/>
        <v>0</v>
      </c>
    </row>
    <row r="524" spans="1:20" x14ac:dyDescent="0.25">
      <c r="A524" t="s">
        <v>590</v>
      </c>
      <c r="B524">
        <v>523</v>
      </c>
      <c r="C524" t="s">
        <v>36</v>
      </c>
      <c r="D524" t="s">
        <v>52</v>
      </c>
      <c r="E524" t="s">
        <v>56</v>
      </c>
      <c r="F524" s="2">
        <v>45683</v>
      </c>
      <c r="G524" s="2">
        <v>45684</v>
      </c>
      <c r="H524" t="s">
        <v>24</v>
      </c>
      <c r="I524" t="s">
        <v>85</v>
      </c>
      <c r="J524" s="2">
        <v>45687</v>
      </c>
      <c r="K524" s="2">
        <v>45687</v>
      </c>
      <c r="L524" t="s">
        <v>46</v>
      </c>
      <c r="M524" t="s">
        <v>27</v>
      </c>
      <c r="O524" t="s">
        <v>69</v>
      </c>
      <c r="P524" t="s">
        <v>88</v>
      </c>
      <c r="Q524">
        <f t="shared" si="32"/>
        <v>1</v>
      </c>
      <c r="R524" s="3">
        <f t="shared" si="33"/>
        <v>4</v>
      </c>
      <c r="S524">
        <f t="shared" si="34"/>
        <v>0</v>
      </c>
      <c r="T524">
        <f t="shared" si="35"/>
        <v>1</v>
      </c>
    </row>
    <row r="525" spans="1:20" x14ac:dyDescent="0.25">
      <c r="A525" t="s">
        <v>591</v>
      </c>
      <c r="B525">
        <v>524</v>
      </c>
      <c r="C525" t="s">
        <v>78</v>
      </c>
      <c r="D525" t="s">
        <v>30</v>
      </c>
      <c r="E525" t="s">
        <v>23</v>
      </c>
      <c r="F525" s="2">
        <v>46001</v>
      </c>
      <c r="G525" s="2">
        <v>46002</v>
      </c>
      <c r="H525" t="s">
        <v>31</v>
      </c>
      <c r="I525" t="s">
        <v>54</v>
      </c>
      <c r="J525" s="2">
        <v>46003</v>
      </c>
      <c r="K525" s="2">
        <v>46003</v>
      </c>
      <c r="L525" t="s">
        <v>26</v>
      </c>
      <c r="M525" t="s">
        <v>57</v>
      </c>
      <c r="O525" t="s">
        <v>43</v>
      </c>
      <c r="Q525">
        <f t="shared" si="32"/>
        <v>1</v>
      </c>
      <c r="R525" s="3">
        <f t="shared" si="33"/>
        <v>2</v>
      </c>
      <c r="S525">
        <f t="shared" si="34"/>
        <v>0</v>
      </c>
      <c r="T525">
        <f t="shared" si="35"/>
        <v>0</v>
      </c>
    </row>
    <row r="526" spans="1:20" x14ac:dyDescent="0.25">
      <c r="A526" t="s">
        <v>592</v>
      </c>
      <c r="B526">
        <v>525</v>
      </c>
      <c r="C526" t="s">
        <v>59</v>
      </c>
      <c r="D526" t="s">
        <v>52</v>
      </c>
      <c r="E526" t="s">
        <v>23</v>
      </c>
      <c r="F526" s="2">
        <v>46019</v>
      </c>
      <c r="G526" s="2">
        <v>46021</v>
      </c>
      <c r="H526" t="s">
        <v>31</v>
      </c>
      <c r="I526" t="s">
        <v>62</v>
      </c>
      <c r="J526" s="2">
        <v>46026</v>
      </c>
      <c r="K526" s="2">
        <v>46026</v>
      </c>
      <c r="L526" t="s">
        <v>46</v>
      </c>
      <c r="M526" t="s">
        <v>57</v>
      </c>
      <c r="O526" t="s">
        <v>28</v>
      </c>
      <c r="Q526">
        <f t="shared" si="32"/>
        <v>1</v>
      </c>
      <c r="R526" s="3">
        <f t="shared" si="33"/>
        <v>7</v>
      </c>
      <c r="S526">
        <f t="shared" si="34"/>
        <v>0</v>
      </c>
      <c r="T526">
        <f t="shared" si="35"/>
        <v>1</v>
      </c>
    </row>
    <row r="527" spans="1:20" x14ac:dyDescent="0.25">
      <c r="A527" t="s">
        <v>593</v>
      </c>
      <c r="B527">
        <v>526</v>
      </c>
      <c r="C527" t="s">
        <v>78</v>
      </c>
      <c r="D527" t="s">
        <v>52</v>
      </c>
      <c r="E527" t="s">
        <v>53</v>
      </c>
      <c r="F527" s="2">
        <v>45888</v>
      </c>
      <c r="G527" s="2">
        <v>45889</v>
      </c>
      <c r="H527" t="s">
        <v>61</v>
      </c>
      <c r="I527" t="s">
        <v>83</v>
      </c>
      <c r="J527" s="2">
        <v>45892</v>
      </c>
      <c r="K527" s="2">
        <v>45894</v>
      </c>
      <c r="L527" t="s">
        <v>26</v>
      </c>
      <c r="M527" t="s">
        <v>32</v>
      </c>
      <c r="N527" t="s">
        <v>47</v>
      </c>
      <c r="O527" t="s">
        <v>69</v>
      </c>
      <c r="P527" t="s">
        <v>76</v>
      </c>
      <c r="Q527">
        <f t="shared" si="32"/>
        <v>0</v>
      </c>
      <c r="R527" s="3">
        <f t="shared" si="33"/>
        <v>4</v>
      </c>
      <c r="S527">
        <f t="shared" si="34"/>
        <v>1</v>
      </c>
      <c r="T527">
        <f t="shared" si="35"/>
        <v>0</v>
      </c>
    </row>
    <row r="528" spans="1:20" x14ac:dyDescent="0.25">
      <c r="A528" t="s">
        <v>594</v>
      </c>
      <c r="B528">
        <v>527</v>
      </c>
      <c r="C528" t="s">
        <v>78</v>
      </c>
      <c r="D528" t="s">
        <v>30</v>
      </c>
      <c r="E528" t="s">
        <v>53</v>
      </c>
      <c r="F528" s="2">
        <v>45917</v>
      </c>
      <c r="G528" s="2">
        <v>45919</v>
      </c>
      <c r="H528" t="s">
        <v>24</v>
      </c>
      <c r="I528" t="s">
        <v>62</v>
      </c>
      <c r="J528" s="2">
        <v>45923</v>
      </c>
      <c r="K528" s="2">
        <v>45923</v>
      </c>
      <c r="L528" t="s">
        <v>26</v>
      </c>
      <c r="M528" t="s">
        <v>57</v>
      </c>
      <c r="O528" t="s">
        <v>81</v>
      </c>
      <c r="Q528">
        <f t="shared" si="32"/>
        <v>1</v>
      </c>
      <c r="R528" s="3">
        <f t="shared" si="33"/>
        <v>6</v>
      </c>
      <c r="S528">
        <f t="shared" si="34"/>
        <v>0</v>
      </c>
      <c r="T528">
        <f t="shared" si="35"/>
        <v>0</v>
      </c>
    </row>
    <row r="529" spans="1:20" x14ac:dyDescent="0.25">
      <c r="A529" t="s">
        <v>595</v>
      </c>
      <c r="B529">
        <v>528</v>
      </c>
      <c r="C529" t="s">
        <v>78</v>
      </c>
      <c r="D529" t="s">
        <v>30</v>
      </c>
      <c r="E529" t="s">
        <v>40</v>
      </c>
      <c r="F529" s="2">
        <v>45918</v>
      </c>
      <c r="G529" s="2">
        <v>45919</v>
      </c>
      <c r="H529" t="s">
        <v>24</v>
      </c>
      <c r="I529" t="s">
        <v>25</v>
      </c>
      <c r="J529" s="2">
        <v>45923</v>
      </c>
      <c r="K529" s="2">
        <v>45923</v>
      </c>
      <c r="L529" t="s">
        <v>26</v>
      </c>
      <c r="M529" t="s">
        <v>27</v>
      </c>
      <c r="O529" t="s">
        <v>34</v>
      </c>
      <c r="P529" t="s">
        <v>76</v>
      </c>
      <c r="Q529">
        <f t="shared" si="32"/>
        <v>1</v>
      </c>
      <c r="R529" s="3">
        <f t="shared" si="33"/>
        <v>5</v>
      </c>
      <c r="S529">
        <f t="shared" si="34"/>
        <v>0</v>
      </c>
      <c r="T529">
        <f t="shared" si="35"/>
        <v>0</v>
      </c>
    </row>
    <row r="530" spans="1:20" x14ac:dyDescent="0.25">
      <c r="A530" t="s">
        <v>596</v>
      </c>
      <c r="B530">
        <v>529</v>
      </c>
      <c r="C530" t="s">
        <v>36</v>
      </c>
      <c r="D530" t="s">
        <v>30</v>
      </c>
      <c r="E530" t="s">
        <v>56</v>
      </c>
      <c r="F530" s="2">
        <v>46010</v>
      </c>
      <c r="G530" s="2">
        <v>46011</v>
      </c>
      <c r="H530" t="s">
        <v>45</v>
      </c>
      <c r="I530" t="s">
        <v>25</v>
      </c>
      <c r="J530" s="2">
        <v>46015</v>
      </c>
      <c r="K530" s="2">
        <v>46019</v>
      </c>
      <c r="L530" t="s">
        <v>26</v>
      </c>
      <c r="M530" t="s">
        <v>32</v>
      </c>
      <c r="N530" t="s">
        <v>49</v>
      </c>
      <c r="O530" t="s">
        <v>28</v>
      </c>
      <c r="Q530">
        <f t="shared" si="32"/>
        <v>0</v>
      </c>
      <c r="R530" s="3">
        <f t="shared" si="33"/>
        <v>5</v>
      </c>
      <c r="S530">
        <f t="shared" si="34"/>
        <v>1</v>
      </c>
      <c r="T530">
        <f t="shared" si="35"/>
        <v>0</v>
      </c>
    </row>
    <row r="531" spans="1:20" x14ac:dyDescent="0.25">
      <c r="A531" t="s">
        <v>597</v>
      </c>
      <c r="B531">
        <v>530</v>
      </c>
      <c r="C531" t="s">
        <v>36</v>
      </c>
      <c r="D531" t="s">
        <v>52</v>
      </c>
      <c r="E531" t="s">
        <v>60</v>
      </c>
      <c r="F531" s="2">
        <v>45863</v>
      </c>
      <c r="G531" s="2">
        <v>45864</v>
      </c>
      <c r="H531" t="s">
        <v>41</v>
      </c>
      <c r="I531" t="s">
        <v>54</v>
      </c>
      <c r="J531" s="2">
        <v>45868</v>
      </c>
      <c r="K531" s="2">
        <v>45868</v>
      </c>
      <c r="L531" t="s">
        <v>26</v>
      </c>
      <c r="M531" t="s">
        <v>57</v>
      </c>
      <c r="O531" t="s">
        <v>37</v>
      </c>
      <c r="Q531">
        <f t="shared" si="32"/>
        <v>1</v>
      </c>
      <c r="R531" s="3">
        <f t="shared" si="33"/>
        <v>5</v>
      </c>
      <c r="S531">
        <f t="shared" si="34"/>
        <v>0</v>
      </c>
      <c r="T531">
        <f t="shared" si="35"/>
        <v>0</v>
      </c>
    </row>
    <row r="532" spans="1:20" x14ac:dyDescent="0.25">
      <c r="A532" t="s">
        <v>598</v>
      </c>
      <c r="B532">
        <v>531</v>
      </c>
      <c r="C532" t="s">
        <v>36</v>
      </c>
      <c r="D532" t="s">
        <v>22</v>
      </c>
      <c r="E532" t="s">
        <v>40</v>
      </c>
      <c r="F532" s="2">
        <v>45880</v>
      </c>
      <c r="G532" s="2">
        <v>45880</v>
      </c>
      <c r="H532" t="s">
        <v>31</v>
      </c>
      <c r="I532" t="s">
        <v>42</v>
      </c>
      <c r="J532" s="2">
        <v>45884</v>
      </c>
      <c r="K532" s="2">
        <v>45884</v>
      </c>
      <c r="L532" t="s">
        <v>26</v>
      </c>
      <c r="M532" t="s">
        <v>27</v>
      </c>
      <c r="O532" t="s">
        <v>34</v>
      </c>
      <c r="Q532">
        <f t="shared" si="32"/>
        <v>1</v>
      </c>
      <c r="R532" s="3">
        <f t="shared" si="33"/>
        <v>4</v>
      </c>
      <c r="S532">
        <f t="shared" si="34"/>
        <v>0</v>
      </c>
      <c r="T532">
        <f t="shared" si="35"/>
        <v>0</v>
      </c>
    </row>
    <row r="533" spans="1:20" x14ac:dyDescent="0.25">
      <c r="A533" t="s">
        <v>599</v>
      </c>
      <c r="B533">
        <v>532</v>
      </c>
      <c r="C533" t="s">
        <v>51</v>
      </c>
      <c r="D533" t="s">
        <v>22</v>
      </c>
      <c r="E533" t="s">
        <v>53</v>
      </c>
      <c r="F533" s="2">
        <v>45754</v>
      </c>
      <c r="G533" s="2">
        <v>45756</v>
      </c>
      <c r="H533" t="s">
        <v>31</v>
      </c>
      <c r="I533" t="s">
        <v>25</v>
      </c>
      <c r="J533" s="2">
        <v>45761</v>
      </c>
      <c r="K533" s="2">
        <v>45761</v>
      </c>
      <c r="L533" t="s">
        <v>26</v>
      </c>
      <c r="M533" t="s">
        <v>27</v>
      </c>
      <c r="O533" t="s">
        <v>81</v>
      </c>
      <c r="Q533">
        <f t="shared" si="32"/>
        <v>1</v>
      </c>
      <c r="R533" s="3">
        <f t="shared" si="33"/>
        <v>7</v>
      </c>
      <c r="S533">
        <f t="shared" si="34"/>
        <v>0</v>
      </c>
      <c r="T533">
        <f t="shared" si="35"/>
        <v>0</v>
      </c>
    </row>
    <row r="534" spans="1:20" x14ac:dyDescent="0.25">
      <c r="A534" t="s">
        <v>600</v>
      </c>
      <c r="B534">
        <v>533</v>
      </c>
      <c r="C534" t="s">
        <v>36</v>
      </c>
      <c r="D534" t="s">
        <v>52</v>
      </c>
      <c r="E534" t="s">
        <v>60</v>
      </c>
      <c r="F534" s="2">
        <v>45769</v>
      </c>
      <c r="G534" s="2">
        <v>45770</v>
      </c>
      <c r="H534" t="s">
        <v>45</v>
      </c>
      <c r="I534" t="s">
        <v>73</v>
      </c>
      <c r="J534" s="2">
        <v>45773</v>
      </c>
      <c r="K534" s="2">
        <v>45773</v>
      </c>
      <c r="L534" t="s">
        <v>46</v>
      </c>
      <c r="M534" t="s">
        <v>27</v>
      </c>
      <c r="O534" t="s">
        <v>81</v>
      </c>
      <c r="Q534">
        <f t="shared" si="32"/>
        <v>1</v>
      </c>
      <c r="R534" s="3">
        <f t="shared" si="33"/>
        <v>4</v>
      </c>
      <c r="S534">
        <f t="shared" si="34"/>
        <v>0</v>
      </c>
      <c r="T534">
        <f t="shared" si="35"/>
        <v>1</v>
      </c>
    </row>
    <row r="535" spans="1:20" x14ac:dyDescent="0.25">
      <c r="A535" t="s">
        <v>601</v>
      </c>
      <c r="B535">
        <v>534</v>
      </c>
      <c r="C535" t="s">
        <v>21</v>
      </c>
      <c r="D535" t="s">
        <v>30</v>
      </c>
      <c r="E535" t="s">
        <v>23</v>
      </c>
      <c r="F535" s="2">
        <v>45897</v>
      </c>
      <c r="G535" s="2">
        <v>45899</v>
      </c>
      <c r="H535" t="s">
        <v>61</v>
      </c>
      <c r="I535" t="s">
        <v>73</v>
      </c>
      <c r="J535" s="2">
        <v>45902</v>
      </c>
      <c r="K535" s="2">
        <v>45902</v>
      </c>
      <c r="L535" t="s">
        <v>26</v>
      </c>
      <c r="M535" t="s">
        <v>57</v>
      </c>
      <c r="O535" t="s">
        <v>43</v>
      </c>
      <c r="Q535">
        <f t="shared" si="32"/>
        <v>1</v>
      </c>
      <c r="R535" s="3">
        <f t="shared" si="33"/>
        <v>5</v>
      </c>
      <c r="S535">
        <f t="shared" si="34"/>
        <v>0</v>
      </c>
      <c r="T535">
        <f t="shared" si="35"/>
        <v>0</v>
      </c>
    </row>
    <row r="536" spans="1:20" x14ac:dyDescent="0.25">
      <c r="A536" t="s">
        <v>602</v>
      </c>
      <c r="B536">
        <v>535</v>
      </c>
      <c r="C536" t="s">
        <v>78</v>
      </c>
      <c r="D536" t="s">
        <v>22</v>
      </c>
      <c r="E536" t="s">
        <v>40</v>
      </c>
      <c r="F536" s="2">
        <v>45752</v>
      </c>
      <c r="G536" s="2">
        <v>45754</v>
      </c>
      <c r="H536" t="s">
        <v>24</v>
      </c>
      <c r="I536" t="s">
        <v>73</v>
      </c>
      <c r="J536" s="2">
        <v>45760</v>
      </c>
      <c r="K536" s="2">
        <v>45760</v>
      </c>
      <c r="L536" t="s">
        <v>26</v>
      </c>
      <c r="M536" t="s">
        <v>57</v>
      </c>
      <c r="O536" t="s">
        <v>28</v>
      </c>
      <c r="Q536">
        <f t="shared" si="32"/>
        <v>1</v>
      </c>
      <c r="R536" s="3">
        <f t="shared" si="33"/>
        <v>8</v>
      </c>
      <c r="S536">
        <f t="shared" si="34"/>
        <v>0</v>
      </c>
      <c r="T536">
        <f t="shared" si="35"/>
        <v>0</v>
      </c>
    </row>
    <row r="537" spans="1:20" x14ac:dyDescent="0.25">
      <c r="A537" t="s">
        <v>603</v>
      </c>
      <c r="B537">
        <v>536</v>
      </c>
      <c r="C537" t="s">
        <v>78</v>
      </c>
      <c r="D537" t="s">
        <v>30</v>
      </c>
      <c r="E537" t="s">
        <v>23</v>
      </c>
      <c r="F537" s="2">
        <v>45673</v>
      </c>
      <c r="G537" s="2">
        <v>45675</v>
      </c>
      <c r="H537" t="s">
        <v>41</v>
      </c>
      <c r="I537" t="s">
        <v>83</v>
      </c>
      <c r="J537" s="2">
        <v>45679</v>
      </c>
      <c r="K537" s="2">
        <v>45679</v>
      </c>
      <c r="L537" t="s">
        <v>26</v>
      </c>
      <c r="M537" t="s">
        <v>27</v>
      </c>
      <c r="O537" t="s">
        <v>28</v>
      </c>
      <c r="Q537">
        <f t="shared" si="32"/>
        <v>1</v>
      </c>
      <c r="R537" s="3">
        <f t="shared" si="33"/>
        <v>6</v>
      </c>
      <c r="S537">
        <f t="shared" si="34"/>
        <v>0</v>
      </c>
      <c r="T537">
        <f t="shared" si="35"/>
        <v>0</v>
      </c>
    </row>
    <row r="538" spans="1:20" x14ac:dyDescent="0.25">
      <c r="A538" t="s">
        <v>604</v>
      </c>
      <c r="B538">
        <v>537</v>
      </c>
      <c r="C538" t="s">
        <v>36</v>
      </c>
      <c r="D538" t="s">
        <v>64</v>
      </c>
      <c r="E538" t="s">
        <v>40</v>
      </c>
      <c r="F538" s="2">
        <v>45823</v>
      </c>
      <c r="G538" s="2">
        <v>45825</v>
      </c>
      <c r="H538" t="s">
        <v>31</v>
      </c>
      <c r="I538" t="s">
        <v>25</v>
      </c>
      <c r="J538" s="2">
        <v>45829</v>
      </c>
      <c r="K538" s="2">
        <v>45829</v>
      </c>
      <c r="L538" t="s">
        <v>26</v>
      </c>
      <c r="M538" t="s">
        <v>27</v>
      </c>
      <c r="O538" t="s">
        <v>43</v>
      </c>
      <c r="Q538">
        <f t="shared" si="32"/>
        <v>1</v>
      </c>
      <c r="R538" s="3">
        <f t="shared" si="33"/>
        <v>6</v>
      </c>
      <c r="S538">
        <f t="shared" si="34"/>
        <v>0</v>
      </c>
      <c r="T538">
        <f t="shared" si="35"/>
        <v>0</v>
      </c>
    </row>
    <row r="539" spans="1:20" x14ac:dyDescent="0.25">
      <c r="A539" t="s">
        <v>605</v>
      </c>
      <c r="B539">
        <v>538</v>
      </c>
      <c r="C539" t="s">
        <v>78</v>
      </c>
      <c r="D539" t="s">
        <v>30</v>
      </c>
      <c r="E539" t="s">
        <v>60</v>
      </c>
      <c r="F539" s="2">
        <v>45942</v>
      </c>
      <c r="G539" s="2">
        <v>45944</v>
      </c>
      <c r="H539" t="s">
        <v>61</v>
      </c>
      <c r="I539" t="s">
        <v>62</v>
      </c>
      <c r="J539" s="2">
        <v>45948</v>
      </c>
      <c r="K539" s="2">
        <v>45951</v>
      </c>
      <c r="L539" t="s">
        <v>26</v>
      </c>
      <c r="M539" t="s">
        <v>32</v>
      </c>
      <c r="N539" t="s">
        <v>49</v>
      </c>
      <c r="O539" t="s">
        <v>43</v>
      </c>
      <c r="Q539">
        <f t="shared" si="32"/>
        <v>0</v>
      </c>
      <c r="R539" s="3">
        <f t="shared" si="33"/>
        <v>6</v>
      </c>
      <c r="S539">
        <f t="shared" si="34"/>
        <v>1</v>
      </c>
      <c r="T539">
        <f t="shared" si="35"/>
        <v>0</v>
      </c>
    </row>
    <row r="540" spans="1:20" x14ac:dyDescent="0.25">
      <c r="A540" t="s">
        <v>606</v>
      </c>
      <c r="B540">
        <v>539</v>
      </c>
      <c r="C540" t="s">
        <v>36</v>
      </c>
      <c r="D540" t="s">
        <v>52</v>
      </c>
      <c r="E540" t="s">
        <v>40</v>
      </c>
      <c r="F540" s="2">
        <v>45787</v>
      </c>
      <c r="G540" s="2">
        <v>45789</v>
      </c>
      <c r="H540" t="s">
        <v>61</v>
      </c>
      <c r="I540" t="s">
        <v>54</v>
      </c>
      <c r="J540" s="2">
        <v>45795</v>
      </c>
      <c r="K540" s="2">
        <v>45795</v>
      </c>
      <c r="L540" t="s">
        <v>26</v>
      </c>
      <c r="M540" t="s">
        <v>57</v>
      </c>
      <c r="O540" t="s">
        <v>34</v>
      </c>
      <c r="P540" t="s">
        <v>88</v>
      </c>
      <c r="Q540">
        <f t="shared" si="32"/>
        <v>1</v>
      </c>
      <c r="R540" s="3">
        <f t="shared" si="33"/>
        <v>8</v>
      </c>
      <c r="S540">
        <f t="shared" si="34"/>
        <v>0</v>
      </c>
      <c r="T540">
        <f t="shared" si="35"/>
        <v>0</v>
      </c>
    </row>
    <row r="541" spans="1:20" x14ac:dyDescent="0.25">
      <c r="A541" t="s">
        <v>607</v>
      </c>
      <c r="B541">
        <v>540</v>
      </c>
      <c r="C541" t="s">
        <v>36</v>
      </c>
      <c r="D541" t="s">
        <v>30</v>
      </c>
      <c r="E541" t="s">
        <v>60</v>
      </c>
      <c r="F541" s="2">
        <v>45967</v>
      </c>
      <c r="G541" s="2">
        <v>45969</v>
      </c>
      <c r="H541" t="s">
        <v>24</v>
      </c>
      <c r="I541" t="s">
        <v>42</v>
      </c>
      <c r="J541" s="2">
        <v>45971</v>
      </c>
      <c r="K541" s="2">
        <v>45971</v>
      </c>
      <c r="L541" t="s">
        <v>26</v>
      </c>
      <c r="M541" t="s">
        <v>27</v>
      </c>
      <c r="O541" t="s">
        <v>37</v>
      </c>
      <c r="P541" t="s">
        <v>93</v>
      </c>
      <c r="Q541">
        <f t="shared" si="32"/>
        <v>1</v>
      </c>
      <c r="R541" s="3">
        <f t="shared" si="33"/>
        <v>4</v>
      </c>
      <c r="S541">
        <f t="shared" si="34"/>
        <v>0</v>
      </c>
      <c r="T541">
        <f t="shared" si="35"/>
        <v>0</v>
      </c>
    </row>
    <row r="542" spans="1:20" x14ac:dyDescent="0.25">
      <c r="A542" t="s">
        <v>608</v>
      </c>
      <c r="B542">
        <v>541</v>
      </c>
      <c r="C542" t="s">
        <v>21</v>
      </c>
      <c r="D542" t="s">
        <v>64</v>
      </c>
      <c r="E542" t="s">
        <v>53</v>
      </c>
      <c r="F542" s="2">
        <v>45950</v>
      </c>
      <c r="G542" s="2">
        <v>45950</v>
      </c>
      <c r="H542" t="s">
        <v>61</v>
      </c>
      <c r="I542" t="s">
        <v>62</v>
      </c>
      <c r="J542" s="2">
        <v>45953</v>
      </c>
      <c r="K542" s="2">
        <v>45953</v>
      </c>
      <c r="L542" t="s">
        <v>46</v>
      </c>
      <c r="M542" t="s">
        <v>27</v>
      </c>
      <c r="O542" t="s">
        <v>28</v>
      </c>
      <c r="Q542">
        <f t="shared" si="32"/>
        <v>1</v>
      </c>
      <c r="R542" s="3">
        <f t="shared" si="33"/>
        <v>3</v>
      </c>
      <c r="S542">
        <f t="shared" si="34"/>
        <v>0</v>
      </c>
      <c r="T542">
        <f t="shared" si="35"/>
        <v>1</v>
      </c>
    </row>
    <row r="543" spans="1:20" x14ac:dyDescent="0.25">
      <c r="A543" t="s">
        <v>609</v>
      </c>
      <c r="B543">
        <v>542</v>
      </c>
      <c r="C543" t="s">
        <v>59</v>
      </c>
      <c r="D543" t="s">
        <v>30</v>
      </c>
      <c r="E543" t="s">
        <v>40</v>
      </c>
      <c r="F543" s="2">
        <v>45908</v>
      </c>
      <c r="G543" s="2">
        <v>45910</v>
      </c>
      <c r="H543" t="s">
        <v>24</v>
      </c>
      <c r="I543" t="s">
        <v>42</v>
      </c>
      <c r="J543" s="2">
        <v>45913</v>
      </c>
      <c r="K543" s="2">
        <v>45913</v>
      </c>
      <c r="L543" t="s">
        <v>26</v>
      </c>
      <c r="M543" t="s">
        <v>27</v>
      </c>
      <c r="O543" t="s">
        <v>43</v>
      </c>
      <c r="Q543">
        <f t="shared" si="32"/>
        <v>1</v>
      </c>
      <c r="R543" s="3">
        <f t="shared" si="33"/>
        <v>5</v>
      </c>
      <c r="S543">
        <f t="shared" si="34"/>
        <v>0</v>
      </c>
      <c r="T543">
        <f t="shared" si="35"/>
        <v>0</v>
      </c>
    </row>
    <row r="544" spans="1:20" x14ac:dyDescent="0.25">
      <c r="A544" t="s">
        <v>610</v>
      </c>
      <c r="B544">
        <v>543</v>
      </c>
      <c r="C544" t="s">
        <v>51</v>
      </c>
      <c r="D544" t="s">
        <v>30</v>
      </c>
      <c r="E544" t="s">
        <v>23</v>
      </c>
      <c r="F544" s="2">
        <v>46003</v>
      </c>
      <c r="G544" s="2">
        <v>46003</v>
      </c>
      <c r="H544" t="s">
        <v>24</v>
      </c>
      <c r="I544" t="s">
        <v>54</v>
      </c>
      <c r="J544" s="2">
        <v>46009</v>
      </c>
      <c r="K544" s="2">
        <v>46010</v>
      </c>
      <c r="L544" t="s">
        <v>26</v>
      </c>
      <c r="M544" t="s">
        <v>57</v>
      </c>
      <c r="O544" t="s">
        <v>28</v>
      </c>
      <c r="Q544">
        <f t="shared" si="32"/>
        <v>0</v>
      </c>
      <c r="R544" s="3">
        <f t="shared" si="33"/>
        <v>6</v>
      </c>
      <c r="S544">
        <f t="shared" si="34"/>
        <v>0</v>
      </c>
      <c r="T544">
        <f t="shared" si="35"/>
        <v>0</v>
      </c>
    </row>
    <row r="545" spans="1:20" x14ac:dyDescent="0.25">
      <c r="A545" t="s">
        <v>611</v>
      </c>
      <c r="B545">
        <v>544</v>
      </c>
      <c r="C545" t="s">
        <v>51</v>
      </c>
      <c r="D545" t="s">
        <v>39</v>
      </c>
      <c r="E545" t="s">
        <v>53</v>
      </c>
      <c r="F545" s="2">
        <v>45675</v>
      </c>
      <c r="G545" s="2">
        <v>45677</v>
      </c>
      <c r="H545" t="s">
        <v>45</v>
      </c>
      <c r="I545" t="s">
        <v>25</v>
      </c>
      <c r="J545" s="2">
        <v>45681</v>
      </c>
      <c r="K545" s="2">
        <v>45681</v>
      </c>
      <c r="L545" t="s">
        <v>26</v>
      </c>
      <c r="M545" t="s">
        <v>27</v>
      </c>
      <c r="O545" t="s">
        <v>37</v>
      </c>
      <c r="P545" t="s">
        <v>93</v>
      </c>
      <c r="Q545">
        <f t="shared" si="32"/>
        <v>1</v>
      </c>
      <c r="R545" s="3">
        <f t="shared" si="33"/>
        <v>6</v>
      </c>
      <c r="S545">
        <f t="shared" si="34"/>
        <v>0</v>
      </c>
      <c r="T545">
        <f t="shared" si="35"/>
        <v>0</v>
      </c>
    </row>
    <row r="546" spans="1:20" x14ac:dyDescent="0.25">
      <c r="A546" t="s">
        <v>612</v>
      </c>
      <c r="B546">
        <v>545</v>
      </c>
      <c r="C546" t="s">
        <v>59</v>
      </c>
      <c r="D546" t="s">
        <v>30</v>
      </c>
      <c r="E546" t="s">
        <v>56</v>
      </c>
      <c r="F546" s="2">
        <v>45731</v>
      </c>
      <c r="G546" s="2">
        <v>45731</v>
      </c>
      <c r="H546" t="s">
        <v>24</v>
      </c>
      <c r="I546" t="s">
        <v>54</v>
      </c>
      <c r="J546" s="2">
        <v>45734</v>
      </c>
      <c r="K546" s="2">
        <v>45734</v>
      </c>
      <c r="L546" t="s">
        <v>46</v>
      </c>
      <c r="M546" t="s">
        <v>27</v>
      </c>
      <c r="O546" t="s">
        <v>69</v>
      </c>
      <c r="Q546">
        <f t="shared" si="32"/>
        <v>1</v>
      </c>
      <c r="R546" s="3">
        <f t="shared" si="33"/>
        <v>3</v>
      </c>
      <c r="S546">
        <f t="shared" si="34"/>
        <v>0</v>
      </c>
      <c r="T546">
        <f t="shared" si="35"/>
        <v>1</v>
      </c>
    </row>
    <row r="547" spans="1:20" x14ac:dyDescent="0.25">
      <c r="A547" t="s">
        <v>613</v>
      </c>
      <c r="B547">
        <v>546</v>
      </c>
      <c r="C547" t="s">
        <v>59</v>
      </c>
      <c r="D547" t="s">
        <v>64</v>
      </c>
      <c r="E547" t="s">
        <v>56</v>
      </c>
      <c r="F547" s="2">
        <v>46019</v>
      </c>
      <c r="G547" s="2">
        <v>46021</v>
      </c>
      <c r="H547" t="s">
        <v>41</v>
      </c>
      <c r="I547" t="s">
        <v>85</v>
      </c>
      <c r="J547" s="2">
        <v>46025</v>
      </c>
      <c r="K547" s="2">
        <v>46026</v>
      </c>
      <c r="L547" t="s">
        <v>26</v>
      </c>
      <c r="M547" t="s">
        <v>27</v>
      </c>
      <c r="O547" t="s">
        <v>69</v>
      </c>
      <c r="Q547">
        <f t="shared" si="32"/>
        <v>0</v>
      </c>
      <c r="R547" s="3">
        <f t="shared" si="33"/>
        <v>6</v>
      </c>
      <c r="S547">
        <f t="shared" si="34"/>
        <v>0</v>
      </c>
      <c r="T547">
        <f t="shared" si="35"/>
        <v>0</v>
      </c>
    </row>
    <row r="548" spans="1:20" x14ac:dyDescent="0.25">
      <c r="A548" t="s">
        <v>614</v>
      </c>
      <c r="B548">
        <v>547</v>
      </c>
      <c r="C548" t="s">
        <v>21</v>
      </c>
      <c r="D548" t="s">
        <v>64</v>
      </c>
      <c r="E548" t="s">
        <v>40</v>
      </c>
      <c r="F548" s="2">
        <v>45996</v>
      </c>
      <c r="G548" s="2">
        <v>45996</v>
      </c>
      <c r="H548" t="s">
        <v>24</v>
      </c>
      <c r="I548" t="s">
        <v>42</v>
      </c>
      <c r="J548" s="2">
        <v>45998</v>
      </c>
      <c r="K548" s="2">
        <v>46001</v>
      </c>
      <c r="L548" t="s">
        <v>26</v>
      </c>
      <c r="M548" t="s">
        <v>32</v>
      </c>
      <c r="N548" t="s">
        <v>47</v>
      </c>
      <c r="O548" t="s">
        <v>28</v>
      </c>
      <c r="Q548">
        <f t="shared" si="32"/>
        <v>0</v>
      </c>
      <c r="R548" s="3">
        <f t="shared" si="33"/>
        <v>2</v>
      </c>
      <c r="S548">
        <f t="shared" si="34"/>
        <v>1</v>
      </c>
      <c r="T548">
        <f t="shared" si="35"/>
        <v>0</v>
      </c>
    </row>
    <row r="549" spans="1:20" x14ac:dyDescent="0.25">
      <c r="A549" t="s">
        <v>615</v>
      </c>
      <c r="B549">
        <v>548</v>
      </c>
      <c r="C549" t="s">
        <v>78</v>
      </c>
      <c r="D549" t="s">
        <v>39</v>
      </c>
      <c r="E549" t="s">
        <v>60</v>
      </c>
      <c r="F549" s="2">
        <v>45703</v>
      </c>
      <c r="G549" s="2">
        <v>45703</v>
      </c>
      <c r="H549" t="s">
        <v>45</v>
      </c>
      <c r="I549" t="s">
        <v>54</v>
      </c>
      <c r="J549" s="2">
        <v>45705</v>
      </c>
      <c r="K549" s="2">
        <v>45705</v>
      </c>
      <c r="L549" t="s">
        <v>46</v>
      </c>
      <c r="M549" t="s">
        <v>57</v>
      </c>
      <c r="O549" t="s">
        <v>69</v>
      </c>
      <c r="P549" t="s">
        <v>93</v>
      </c>
      <c r="Q549">
        <f t="shared" si="32"/>
        <v>1</v>
      </c>
      <c r="R549" s="3">
        <f t="shared" si="33"/>
        <v>2</v>
      </c>
      <c r="S549">
        <f t="shared" si="34"/>
        <v>0</v>
      </c>
      <c r="T549">
        <f t="shared" si="35"/>
        <v>1</v>
      </c>
    </row>
    <row r="550" spans="1:20" x14ac:dyDescent="0.25">
      <c r="A550" t="s">
        <v>616</v>
      </c>
      <c r="B550">
        <v>549</v>
      </c>
      <c r="C550" t="s">
        <v>51</v>
      </c>
      <c r="D550" t="s">
        <v>39</v>
      </c>
      <c r="E550" t="s">
        <v>40</v>
      </c>
      <c r="F550" s="2">
        <v>45977</v>
      </c>
      <c r="G550" s="2">
        <v>45979</v>
      </c>
      <c r="H550" t="s">
        <v>45</v>
      </c>
      <c r="I550" t="s">
        <v>73</v>
      </c>
      <c r="J550" s="2">
        <v>45983</v>
      </c>
      <c r="K550" s="2">
        <v>45987</v>
      </c>
      <c r="L550" t="s">
        <v>26</v>
      </c>
      <c r="M550" t="s">
        <v>32</v>
      </c>
      <c r="N550" t="s">
        <v>33</v>
      </c>
      <c r="O550" t="s">
        <v>37</v>
      </c>
      <c r="Q550">
        <f t="shared" si="32"/>
        <v>0</v>
      </c>
      <c r="R550" s="3">
        <f t="shared" si="33"/>
        <v>6</v>
      </c>
      <c r="S550">
        <f t="shared" si="34"/>
        <v>1</v>
      </c>
      <c r="T550">
        <f t="shared" si="35"/>
        <v>0</v>
      </c>
    </row>
    <row r="551" spans="1:20" x14ac:dyDescent="0.25">
      <c r="A551" t="s">
        <v>617</v>
      </c>
      <c r="B551">
        <v>550</v>
      </c>
      <c r="C551" t="s">
        <v>59</v>
      </c>
      <c r="D551" t="s">
        <v>22</v>
      </c>
      <c r="E551" t="s">
        <v>56</v>
      </c>
      <c r="F551" s="2">
        <v>45683</v>
      </c>
      <c r="G551" s="2">
        <v>45684</v>
      </c>
      <c r="H551" t="s">
        <v>41</v>
      </c>
      <c r="I551" t="s">
        <v>54</v>
      </c>
      <c r="J551" s="2">
        <v>45688</v>
      </c>
      <c r="K551" s="2">
        <v>45692</v>
      </c>
      <c r="L551" t="s">
        <v>26</v>
      </c>
      <c r="M551" t="s">
        <v>32</v>
      </c>
      <c r="N551" t="s">
        <v>75</v>
      </c>
      <c r="O551" t="s">
        <v>37</v>
      </c>
      <c r="Q551">
        <f t="shared" si="32"/>
        <v>0</v>
      </c>
      <c r="R551" s="3">
        <f t="shared" si="33"/>
        <v>5</v>
      </c>
      <c r="S551">
        <f t="shared" si="34"/>
        <v>1</v>
      </c>
      <c r="T551">
        <f t="shared" si="35"/>
        <v>0</v>
      </c>
    </row>
    <row r="552" spans="1:20" x14ac:dyDescent="0.25">
      <c r="A552" t="s">
        <v>618</v>
      </c>
      <c r="B552">
        <v>551</v>
      </c>
      <c r="C552" t="s">
        <v>21</v>
      </c>
      <c r="D552" t="s">
        <v>22</v>
      </c>
      <c r="E552" t="s">
        <v>60</v>
      </c>
      <c r="F552" s="2">
        <v>45734</v>
      </c>
      <c r="G552" s="2">
        <v>45734</v>
      </c>
      <c r="H552" t="s">
        <v>31</v>
      </c>
      <c r="I552" t="s">
        <v>73</v>
      </c>
      <c r="J552" s="2">
        <v>45737</v>
      </c>
      <c r="K552" s="2">
        <v>45737</v>
      </c>
      <c r="L552" t="s">
        <v>46</v>
      </c>
      <c r="M552" t="s">
        <v>57</v>
      </c>
      <c r="O552" t="s">
        <v>37</v>
      </c>
      <c r="Q552">
        <f t="shared" si="32"/>
        <v>1</v>
      </c>
      <c r="R552" s="3">
        <f t="shared" si="33"/>
        <v>3</v>
      </c>
      <c r="S552">
        <f t="shared" si="34"/>
        <v>0</v>
      </c>
      <c r="T552">
        <f t="shared" si="35"/>
        <v>1</v>
      </c>
    </row>
    <row r="553" spans="1:20" x14ac:dyDescent="0.25">
      <c r="A553" t="s">
        <v>619</v>
      </c>
      <c r="B553">
        <v>552</v>
      </c>
      <c r="C553" t="s">
        <v>59</v>
      </c>
      <c r="D553" t="s">
        <v>64</v>
      </c>
      <c r="E553" t="s">
        <v>53</v>
      </c>
      <c r="F553" s="2">
        <v>45704</v>
      </c>
      <c r="G553" s="2">
        <v>45705</v>
      </c>
      <c r="H553" t="s">
        <v>24</v>
      </c>
      <c r="I553" t="s">
        <v>83</v>
      </c>
      <c r="J553" s="2">
        <v>45707</v>
      </c>
      <c r="K553" s="2">
        <v>45707</v>
      </c>
      <c r="L553" t="s">
        <v>26</v>
      </c>
      <c r="M553" t="s">
        <v>57</v>
      </c>
      <c r="O553" t="s">
        <v>28</v>
      </c>
      <c r="P553" t="s">
        <v>93</v>
      </c>
      <c r="Q553">
        <f t="shared" si="32"/>
        <v>1</v>
      </c>
      <c r="R553" s="3">
        <f t="shared" si="33"/>
        <v>3</v>
      </c>
      <c r="S553">
        <f t="shared" si="34"/>
        <v>0</v>
      </c>
      <c r="T553">
        <f t="shared" si="35"/>
        <v>0</v>
      </c>
    </row>
    <row r="554" spans="1:20" x14ac:dyDescent="0.25">
      <c r="A554" t="s">
        <v>620</v>
      </c>
      <c r="B554">
        <v>553</v>
      </c>
      <c r="C554" t="s">
        <v>59</v>
      </c>
      <c r="D554" t="s">
        <v>39</v>
      </c>
      <c r="E554" t="s">
        <v>60</v>
      </c>
      <c r="F554" s="2">
        <v>45778</v>
      </c>
      <c r="G554" s="2">
        <v>45779</v>
      </c>
      <c r="H554" t="s">
        <v>45</v>
      </c>
      <c r="I554" t="s">
        <v>25</v>
      </c>
      <c r="J554" s="2">
        <v>45780</v>
      </c>
      <c r="K554" s="2">
        <v>45780</v>
      </c>
      <c r="L554" t="s">
        <v>46</v>
      </c>
      <c r="M554" t="s">
        <v>57</v>
      </c>
      <c r="O554" t="s">
        <v>37</v>
      </c>
      <c r="Q554">
        <f t="shared" si="32"/>
        <v>1</v>
      </c>
      <c r="R554" s="3">
        <f t="shared" si="33"/>
        <v>2</v>
      </c>
      <c r="S554">
        <f t="shared" si="34"/>
        <v>0</v>
      </c>
      <c r="T554">
        <f t="shared" si="35"/>
        <v>1</v>
      </c>
    </row>
    <row r="555" spans="1:20" x14ac:dyDescent="0.25">
      <c r="A555" t="s">
        <v>621</v>
      </c>
      <c r="B555">
        <v>554</v>
      </c>
      <c r="C555" t="s">
        <v>78</v>
      </c>
      <c r="D555" t="s">
        <v>64</v>
      </c>
      <c r="E555" t="s">
        <v>60</v>
      </c>
      <c r="F555" s="2">
        <v>45828</v>
      </c>
      <c r="G555" s="2">
        <v>45828</v>
      </c>
      <c r="H555" t="s">
        <v>24</v>
      </c>
      <c r="I555" t="s">
        <v>73</v>
      </c>
      <c r="J555" s="2">
        <v>45831</v>
      </c>
      <c r="K555" s="2">
        <v>45834</v>
      </c>
      <c r="L555" t="s">
        <v>26</v>
      </c>
      <c r="M555" t="s">
        <v>32</v>
      </c>
      <c r="N555" t="s">
        <v>33</v>
      </c>
      <c r="O555" t="s">
        <v>69</v>
      </c>
      <c r="P555" t="s">
        <v>76</v>
      </c>
      <c r="Q555">
        <f t="shared" si="32"/>
        <v>0</v>
      </c>
      <c r="R555" s="3">
        <f t="shared" si="33"/>
        <v>3</v>
      </c>
      <c r="S555">
        <f t="shared" si="34"/>
        <v>1</v>
      </c>
      <c r="T555">
        <f t="shared" si="35"/>
        <v>0</v>
      </c>
    </row>
    <row r="556" spans="1:20" x14ac:dyDescent="0.25">
      <c r="A556" t="s">
        <v>622</v>
      </c>
      <c r="B556">
        <v>555</v>
      </c>
      <c r="C556" t="s">
        <v>59</v>
      </c>
      <c r="D556" t="s">
        <v>30</v>
      </c>
      <c r="E556" t="s">
        <v>23</v>
      </c>
      <c r="F556" s="2">
        <v>45992</v>
      </c>
      <c r="G556" s="2">
        <v>45993</v>
      </c>
      <c r="H556" t="s">
        <v>31</v>
      </c>
      <c r="I556" t="s">
        <v>73</v>
      </c>
      <c r="J556" s="2">
        <v>45996</v>
      </c>
      <c r="K556" s="2">
        <v>45997</v>
      </c>
      <c r="L556" t="s">
        <v>46</v>
      </c>
      <c r="M556" t="s">
        <v>32</v>
      </c>
      <c r="N556" t="s">
        <v>47</v>
      </c>
      <c r="O556" t="s">
        <v>34</v>
      </c>
      <c r="Q556">
        <f t="shared" si="32"/>
        <v>0</v>
      </c>
      <c r="R556" s="3">
        <f t="shared" si="33"/>
        <v>4</v>
      </c>
      <c r="S556">
        <f t="shared" si="34"/>
        <v>1</v>
      </c>
      <c r="T556">
        <f t="shared" si="35"/>
        <v>1</v>
      </c>
    </row>
    <row r="557" spans="1:20" x14ac:dyDescent="0.25">
      <c r="A557" t="s">
        <v>623</v>
      </c>
      <c r="B557">
        <v>556</v>
      </c>
      <c r="C557" t="s">
        <v>51</v>
      </c>
      <c r="D557" t="s">
        <v>52</v>
      </c>
      <c r="E557" t="s">
        <v>23</v>
      </c>
      <c r="F557" s="2">
        <v>45859</v>
      </c>
      <c r="G557" s="2">
        <v>45860</v>
      </c>
      <c r="H557" t="s">
        <v>24</v>
      </c>
      <c r="I557" t="s">
        <v>42</v>
      </c>
      <c r="J557" s="2">
        <v>45863</v>
      </c>
      <c r="K557" s="2">
        <v>45864</v>
      </c>
      <c r="L557" t="s">
        <v>26</v>
      </c>
      <c r="M557" t="s">
        <v>32</v>
      </c>
      <c r="N557" t="s">
        <v>67</v>
      </c>
      <c r="O557" t="s">
        <v>43</v>
      </c>
      <c r="Q557">
        <f t="shared" si="32"/>
        <v>0</v>
      </c>
      <c r="R557" s="3">
        <f t="shared" si="33"/>
        <v>4</v>
      </c>
      <c r="S557">
        <f t="shared" si="34"/>
        <v>1</v>
      </c>
      <c r="T557">
        <f t="shared" si="35"/>
        <v>0</v>
      </c>
    </row>
    <row r="558" spans="1:20" x14ac:dyDescent="0.25">
      <c r="A558" t="s">
        <v>624</v>
      </c>
      <c r="B558">
        <v>557</v>
      </c>
      <c r="C558" t="s">
        <v>78</v>
      </c>
      <c r="D558" t="s">
        <v>30</v>
      </c>
      <c r="E558" t="s">
        <v>53</v>
      </c>
      <c r="F558" s="2">
        <v>45702</v>
      </c>
      <c r="G558" s="2">
        <v>45702</v>
      </c>
      <c r="H558" t="s">
        <v>45</v>
      </c>
      <c r="I558" t="s">
        <v>54</v>
      </c>
      <c r="J558" s="2">
        <v>45704</v>
      </c>
      <c r="K558" s="2">
        <v>45704</v>
      </c>
      <c r="L558" t="s">
        <v>26</v>
      </c>
      <c r="M558" t="s">
        <v>27</v>
      </c>
      <c r="O558" t="s">
        <v>28</v>
      </c>
      <c r="Q558">
        <f t="shared" si="32"/>
        <v>1</v>
      </c>
      <c r="R558" s="3">
        <f t="shared" si="33"/>
        <v>2</v>
      </c>
      <c r="S558">
        <f t="shared" si="34"/>
        <v>0</v>
      </c>
      <c r="T558">
        <f t="shared" si="35"/>
        <v>0</v>
      </c>
    </row>
    <row r="559" spans="1:20" x14ac:dyDescent="0.25">
      <c r="A559" t="s">
        <v>625</v>
      </c>
      <c r="B559">
        <v>558</v>
      </c>
      <c r="C559" t="s">
        <v>59</v>
      </c>
      <c r="D559" t="s">
        <v>30</v>
      </c>
      <c r="E559" t="s">
        <v>60</v>
      </c>
      <c r="F559" s="2">
        <v>45797</v>
      </c>
      <c r="G559" s="2">
        <v>45797</v>
      </c>
      <c r="H559" t="s">
        <v>31</v>
      </c>
      <c r="I559" t="s">
        <v>85</v>
      </c>
      <c r="J559" s="2">
        <v>45803</v>
      </c>
      <c r="K559" s="2">
        <v>45803</v>
      </c>
      <c r="L559" t="s">
        <v>26</v>
      </c>
      <c r="M559" t="s">
        <v>27</v>
      </c>
      <c r="O559" t="s">
        <v>37</v>
      </c>
      <c r="Q559">
        <f t="shared" si="32"/>
        <v>1</v>
      </c>
      <c r="R559" s="3">
        <f t="shared" si="33"/>
        <v>6</v>
      </c>
      <c r="S559">
        <f t="shared" si="34"/>
        <v>0</v>
      </c>
      <c r="T559">
        <f t="shared" si="35"/>
        <v>0</v>
      </c>
    </row>
    <row r="560" spans="1:20" x14ac:dyDescent="0.25">
      <c r="A560" t="s">
        <v>626</v>
      </c>
      <c r="B560">
        <v>559</v>
      </c>
      <c r="C560" t="s">
        <v>78</v>
      </c>
      <c r="D560" t="s">
        <v>52</v>
      </c>
      <c r="E560" t="s">
        <v>60</v>
      </c>
      <c r="F560" s="2">
        <v>45668</v>
      </c>
      <c r="G560" s="2">
        <v>45669</v>
      </c>
      <c r="H560" t="s">
        <v>31</v>
      </c>
      <c r="I560" t="s">
        <v>85</v>
      </c>
      <c r="J560" s="2">
        <v>45670</v>
      </c>
      <c r="K560" s="2">
        <v>45673</v>
      </c>
      <c r="L560" t="s">
        <v>26</v>
      </c>
      <c r="M560" t="s">
        <v>32</v>
      </c>
      <c r="N560" t="s">
        <v>264</v>
      </c>
      <c r="O560" t="s">
        <v>34</v>
      </c>
      <c r="Q560">
        <f t="shared" si="32"/>
        <v>0</v>
      </c>
      <c r="R560" s="3">
        <f t="shared" si="33"/>
        <v>2</v>
      </c>
      <c r="S560">
        <f t="shared" si="34"/>
        <v>1</v>
      </c>
      <c r="T560">
        <f t="shared" si="35"/>
        <v>0</v>
      </c>
    </row>
    <row r="561" spans="1:20" x14ac:dyDescent="0.25">
      <c r="A561" t="s">
        <v>627</v>
      </c>
      <c r="B561">
        <v>560</v>
      </c>
      <c r="C561" t="s">
        <v>59</v>
      </c>
      <c r="D561" t="s">
        <v>22</v>
      </c>
      <c r="E561" t="s">
        <v>53</v>
      </c>
      <c r="F561" s="2">
        <v>45671</v>
      </c>
      <c r="G561" s="2">
        <v>45671</v>
      </c>
      <c r="H561" t="s">
        <v>41</v>
      </c>
      <c r="I561" t="s">
        <v>25</v>
      </c>
      <c r="J561" s="2">
        <v>45675</v>
      </c>
      <c r="K561" s="2">
        <v>45676</v>
      </c>
      <c r="L561" t="s">
        <v>26</v>
      </c>
      <c r="M561" t="s">
        <v>57</v>
      </c>
      <c r="O561" t="s">
        <v>81</v>
      </c>
      <c r="Q561">
        <f t="shared" si="32"/>
        <v>0</v>
      </c>
      <c r="R561" s="3">
        <f t="shared" si="33"/>
        <v>4</v>
      </c>
      <c r="S561">
        <f t="shared" si="34"/>
        <v>0</v>
      </c>
      <c r="T561">
        <f t="shared" si="35"/>
        <v>0</v>
      </c>
    </row>
    <row r="562" spans="1:20" x14ac:dyDescent="0.25">
      <c r="A562" t="s">
        <v>628</v>
      </c>
      <c r="B562">
        <v>561</v>
      </c>
      <c r="C562" t="s">
        <v>36</v>
      </c>
      <c r="D562" t="s">
        <v>30</v>
      </c>
      <c r="E562" t="s">
        <v>60</v>
      </c>
      <c r="F562" s="2">
        <v>45842</v>
      </c>
      <c r="G562" s="2">
        <v>45843</v>
      </c>
      <c r="H562" t="s">
        <v>45</v>
      </c>
      <c r="I562" t="s">
        <v>73</v>
      </c>
      <c r="J562" s="2">
        <v>45844</v>
      </c>
      <c r="K562" s="2">
        <v>45844</v>
      </c>
      <c r="L562" t="s">
        <v>26</v>
      </c>
      <c r="M562" t="s">
        <v>27</v>
      </c>
      <c r="O562" t="s">
        <v>81</v>
      </c>
      <c r="Q562">
        <f t="shared" si="32"/>
        <v>1</v>
      </c>
      <c r="R562" s="3">
        <f t="shared" si="33"/>
        <v>2</v>
      </c>
      <c r="S562">
        <f t="shared" si="34"/>
        <v>0</v>
      </c>
      <c r="T562">
        <f t="shared" si="35"/>
        <v>0</v>
      </c>
    </row>
    <row r="563" spans="1:20" x14ac:dyDescent="0.25">
      <c r="A563" t="s">
        <v>629</v>
      </c>
      <c r="B563">
        <v>562</v>
      </c>
      <c r="C563" t="s">
        <v>36</v>
      </c>
      <c r="D563" t="s">
        <v>39</v>
      </c>
      <c r="E563" t="s">
        <v>56</v>
      </c>
      <c r="F563" s="2">
        <v>45881</v>
      </c>
      <c r="G563" s="2">
        <v>45881</v>
      </c>
      <c r="H563" t="s">
        <v>24</v>
      </c>
      <c r="I563" t="s">
        <v>25</v>
      </c>
      <c r="J563" s="2">
        <v>45886</v>
      </c>
      <c r="K563" s="2">
        <v>45889</v>
      </c>
      <c r="L563" t="s">
        <v>26</v>
      </c>
      <c r="M563" t="s">
        <v>32</v>
      </c>
      <c r="N563" t="s">
        <v>47</v>
      </c>
      <c r="O563" t="s">
        <v>34</v>
      </c>
      <c r="Q563">
        <f t="shared" si="32"/>
        <v>0</v>
      </c>
      <c r="R563" s="3">
        <f t="shared" si="33"/>
        <v>5</v>
      </c>
      <c r="S563">
        <f t="shared" si="34"/>
        <v>1</v>
      </c>
      <c r="T563">
        <f t="shared" si="35"/>
        <v>0</v>
      </c>
    </row>
    <row r="564" spans="1:20" x14ac:dyDescent="0.25">
      <c r="A564" t="s">
        <v>630</v>
      </c>
      <c r="B564">
        <v>563</v>
      </c>
      <c r="C564" t="s">
        <v>36</v>
      </c>
      <c r="D564" t="s">
        <v>52</v>
      </c>
      <c r="E564" t="s">
        <v>60</v>
      </c>
      <c r="F564" s="2">
        <v>45766</v>
      </c>
      <c r="G564" s="2">
        <v>45768</v>
      </c>
      <c r="H564" t="s">
        <v>45</v>
      </c>
      <c r="I564" t="s">
        <v>83</v>
      </c>
      <c r="J564" s="2">
        <v>45770</v>
      </c>
      <c r="K564" s="2">
        <v>45770</v>
      </c>
      <c r="L564" t="s">
        <v>26</v>
      </c>
      <c r="M564" t="s">
        <v>27</v>
      </c>
      <c r="O564" t="s">
        <v>81</v>
      </c>
      <c r="Q564">
        <f t="shared" si="32"/>
        <v>1</v>
      </c>
      <c r="R564" s="3">
        <f t="shared" si="33"/>
        <v>4</v>
      </c>
      <c r="S564">
        <f t="shared" si="34"/>
        <v>0</v>
      </c>
      <c r="T564">
        <f t="shared" si="35"/>
        <v>0</v>
      </c>
    </row>
    <row r="565" spans="1:20" x14ac:dyDescent="0.25">
      <c r="A565" t="s">
        <v>631</v>
      </c>
      <c r="B565">
        <v>564</v>
      </c>
      <c r="C565" t="s">
        <v>78</v>
      </c>
      <c r="D565" t="s">
        <v>22</v>
      </c>
      <c r="E565" t="s">
        <v>53</v>
      </c>
      <c r="F565" s="2">
        <v>45826</v>
      </c>
      <c r="G565" s="2">
        <v>45827</v>
      </c>
      <c r="H565" t="s">
        <v>61</v>
      </c>
      <c r="I565" t="s">
        <v>85</v>
      </c>
      <c r="J565" s="2">
        <v>45829</v>
      </c>
      <c r="K565" s="2">
        <v>45829</v>
      </c>
      <c r="L565" t="s">
        <v>26</v>
      </c>
      <c r="M565" t="s">
        <v>57</v>
      </c>
      <c r="O565" t="s">
        <v>43</v>
      </c>
      <c r="Q565">
        <f t="shared" si="32"/>
        <v>1</v>
      </c>
      <c r="R565" s="3">
        <f t="shared" si="33"/>
        <v>3</v>
      </c>
      <c r="S565">
        <f t="shared" si="34"/>
        <v>0</v>
      </c>
      <c r="T565">
        <f t="shared" si="35"/>
        <v>0</v>
      </c>
    </row>
    <row r="566" spans="1:20" x14ac:dyDescent="0.25">
      <c r="A566" t="s">
        <v>632</v>
      </c>
      <c r="B566">
        <v>565</v>
      </c>
      <c r="C566" t="s">
        <v>36</v>
      </c>
      <c r="D566" t="s">
        <v>30</v>
      </c>
      <c r="E566" t="s">
        <v>23</v>
      </c>
      <c r="F566" s="2">
        <v>45715</v>
      </c>
      <c r="G566" s="2">
        <v>45716</v>
      </c>
      <c r="H566" t="s">
        <v>41</v>
      </c>
      <c r="I566" t="s">
        <v>54</v>
      </c>
      <c r="J566" s="2">
        <v>45718</v>
      </c>
      <c r="K566" s="2">
        <v>45718</v>
      </c>
      <c r="L566" t="s">
        <v>26</v>
      </c>
      <c r="M566" t="s">
        <v>57</v>
      </c>
      <c r="O566" t="s">
        <v>37</v>
      </c>
      <c r="Q566">
        <f t="shared" si="32"/>
        <v>1</v>
      </c>
      <c r="R566" s="3">
        <f t="shared" si="33"/>
        <v>3</v>
      </c>
      <c r="S566">
        <f t="shared" si="34"/>
        <v>0</v>
      </c>
      <c r="T566">
        <f t="shared" si="35"/>
        <v>0</v>
      </c>
    </row>
    <row r="567" spans="1:20" x14ac:dyDescent="0.25">
      <c r="A567" t="s">
        <v>633</v>
      </c>
      <c r="B567">
        <v>566</v>
      </c>
      <c r="C567" t="s">
        <v>78</v>
      </c>
      <c r="D567" t="s">
        <v>39</v>
      </c>
      <c r="E567" t="s">
        <v>60</v>
      </c>
      <c r="F567" s="2">
        <v>45918</v>
      </c>
      <c r="G567" s="2">
        <v>45918</v>
      </c>
      <c r="H567" t="s">
        <v>31</v>
      </c>
      <c r="I567" t="s">
        <v>25</v>
      </c>
      <c r="J567" s="2">
        <v>45920</v>
      </c>
      <c r="K567" s="2">
        <v>45920</v>
      </c>
      <c r="L567" t="s">
        <v>26</v>
      </c>
      <c r="M567" t="s">
        <v>27</v>
      </c>
      <c r="O567" t="s">
        <v>34</v>
      </c>
      <c r="P567" t="s">
        <v>88</v>
      </c>
      <c r="Q567">
        <f t="shared" si="32"/>
        <v>1</v>
      </c>
      <c r="R567" s="3">
        <f t="shared" si="33"/>
        <v>2</v>
      </c>
      <c r="S567">
        <f t="shared" si="34"/>
        <v>0</v>
      </c>
      <c r="T567">
        <f t="shared" si="35"/>
        <v>0</v>
      </c>
    </row>
    <row r="568" spans="1:20" x14ac:dyDescent="0.25">
      <c r="A568" t="s">
        <v>634</v>
      </c>
      <c r="B568">
        <v>567</v>
      </c>
      <c r="C568" t="s">
        <v>78</v>
      </c>
      <c r="D568" t="s">
        <v>52</v>
      </c>
      <c r="E568" t="s">
        <v>40</v>
      </c>
      <c r="F568" s="2">
        <v>45811</v>
      </c>
      <c r="G568" s="2">
        <v>45811</v>
      </c>
      <c r="H568" t="s">
        <v>41</v>
      </c>
      <c r="I568" t="s">
        <v>42</v>
      </c>
      <c r="J568" s="2">
        <v>45814</v>
      </c>
      <c r="K568" s="2">
        <v>45814</v>
      </c>
      <c r="L568" t="s">
        <v>26</v>
      </c>
      <c r="M568" t="s">
        <v>27</v>
      </c>
      <c r="O568" t="s">
        <v>81</v>
      </c>
      <c r="Q568">
        <f t="shared" si="32"/>
        <v>1</v>
      </c>
      <c r="R568" s="3">
        <f t="shared" si="33"/>
        <v>3</v>
      </c>
      <c r="S568">
        <f t="shared" si="34"/>
        <v>0</v>
      </c>
      <c r="T568">
        <f t="shared" si="35"/>
        <v>0</v>
      </c>
    </row>
    <row r="569" spans="1:20" x14ac:dyDescent="0.25">
      <c r="A569" t="s">
        <v>635</v>
      </c>
      <c r="B569">
        <v>568</v>
      </c>
      <c r="C569" t="s">
        <v>78</v>
      </c>
      <c r="D569" t="s">
        <v>64</v>
      </c>
      <c r="E569" t="s">
        <v>53</v>
      </c>
      <c r="F569" s="2">
        <v>45720</v>
      </c>
      <c r="G569" s="2">
        <v>45721</v>
      </c>
      <c r="H569" t="s">
        <v>61</v>
      </c>
      <c r="I569" t="s">
        <v>73</v>
      </c>
      <c r="J569" s="2">
        <v>45724</v>
      </c>
      <c r="K569" s="2">
        <v>45724</v>
      </c>
      <c r="L569" t="s">
        <v>46</v>
      </c>
      <c r="M569" t="s">
        <v>27</v>
      </c>
      <c r="O569" t="s">
        <v>37</v>
      </c>
      <c r="Q569">
        <f t="shared" si="32"/>
        <v>1</v>
      </c>
      <c r="R569" s="3">
        <f t="shared" si="33"/>
        <v>4</v>
      </c>
      <c r="S569">
        <f t="shared" si="34"/>
        <v>0</v>
      </c>
      <c r="T569">
        <f t="shared" si="35"/>
        <v>1</v>
      </c>
    </row>
    <row r="570" spans="1:20" x14ac:dyDescent="0.25">
      <c r="A570" t="s">
        <v>636</v>
      </c>
      <c r="B570">
        <v>569</v>
      </c>
      <c r="C570" t="s">
        <v>36</v>
      </c>
      <c r="D570" t="s">
        <v>64</v>
      </c>
      <c r="E570" t="s">
        <v>23</v>
      </c>
      <c r="F570" s="2">
        <v>45844</v>
      </c>
      <c r="G570" s="2">
        <v>45844</v>
      </c>
      <c r="H570" t="s">
        <v>61</v>
      </c>
      <c r="I570" t="s">
        <v>83</v>
      </c>
      <c r="J570" s="2">
        <v>45848</v>
      </c>
      <c r="K570" s="2">
        <v>45849</v>
      </c>
      <c r="L570" t="s">
        <v>26</v>
      </c>
      <c r="M570" t="s">
        <v>27</v>
      </c>
      <c r="O570" t="s">
        <v>69</v>
      </c>
      <c r="Q570">
        <f t="shared" si="32"/>
        <v>0</v>
      </c>
      <c r="R570" s="3">
        <f t="shared" si="33"/>
        <v>4</v>
      </c>
      <c r="S570">
        <f t="shared" si="34"/>
        <v>0</v>
      </c>
      <c r="T570">
        <f t="shared" si="35"/>
        <v>0</v>
      </c>
    </row>
    <row r="571" spans="1:20" x14ac:dyDescent="0.25">
      <c r="A571" t="s">
        <v>637</v>
      </c>
      <c r="B571">
        <v>570</v>
      </c>
      <c r="C571" t="s">
        <v>59</v>
      </c>
      <c r="D571" t="s">
        <v>22</v>
      </c>
      <c r="E571" t="s">
        <v>56</v>
      </c>
      <c r="F571" s="2">
        <v>45767</v>
      </c>
      <c r="G571" s="2">
        <v>45767</v>
      </c>
      <c r="H571" t="s">
        <v>31</v>
      </c>
      <c r="I571" t="s">
        <v>42</v>
      </c>
      <c r="J571" s="2">
        <v>45770</v>
      </c>
      <c r="K571" s="2">
        <v>45770</v>
      </c>
      <c r="L571" t="s">
        <v>26</v>
      </c>
      <c r="M571" t="s">
        <v>57</v>
      </c>
      <c r="O571" t="s">
        <v>43</v>
      </c>
      <c r="P571" t="s">
        <v>71</v>
      </c>
      <c r="Q571">
        <f t="shared" si="32"/>
        <v>1</v>
      </c>
      <c r="R571" s="3">
        <f t="shared" si="33"/>
        <v>3</v>
      </c>
      <c r="S571">
        <f t="shared" si="34"/>
        <v>0</v>
      </c>
      <c r="T571">
        <f t="shared" si="35"/>
        <v>0</v>
      </c>
    </row>
    <row r="572" spans="1:20" x14ac:dyDescent="0.25">
      <c r="A572" t="s">
        <v>638</v>
      </c>
      <c r="B572">
        <v>571</v>
      </c>
      <c r="C572" t="s">
        <v>21</v>
      </c>
      <c r="D572" t="s">
        <v>64</v>
      </c>
      <c r="E572" t="s">
        <v>60</v>
      </c>
      <c r="F572" s="2">
        <v>45802</v>
      </c>
      <c r="G572" s="2">
        <v>45804</v>
      </c>
      <c r="H572" t="s">
        <v>61</v>
      </c>
      <c r="I572" t="s">
        <v>25</v>
      </c>
      <c r="J572" s="2">
        <v>45805</v>
      </c>
      <c r="K572" s="2">
        <v>45805</v>
      </c>
      <c r="L572" t="s">
        <v>26</v>
      </c>
      <c r="M572" t="s">
        <v>27</v>
      </c>
      <c r="O572" t="s">
        <v>34</v>
      </c>
      <c r="Q572">
        <f t="shared" si="32"/>
        <v>1</v>
      </c>
      <c r="R572" s="3">
        <f t="shared" si="33"/>
        <v>3</v>
      </c>
      <c r="S572">
        <f t="shared" si="34"/>
        <v>0</v>
      </c>
      <c r="T572">
        <f t="shared" si="35"/>
        <v>0</v>
      </c>
    </row>
    <row r="573" spans="1:20" x14ac:dyDescent="0.25">
      <c r="A573" t="s">
        <v>639</v>
      </c>
      <c r="B573">
        <v>572</v>
      </c>
      <c r="C573" t="s">
        <v>59</v>
      </c>
      <c r="D573" t="s">
        <v>64</v>
      </c>
      <c r="E573" t="s">
        <v>56</v>
      </c>
      <c r="F573" s="2">
        <v>45691</v>
      </c>
      <c r="G573" s="2">
        <v>45692</v>
      </c>
      <c r="H573" t="s">
        <v>24</v>
      </c>
      <c r="I573" t="s">
        <v>73</v>
      </c>
      <c r="J573" s="2">
        <v>45696</v>
      </c>
      <c r="K573" s="2">
        <v>45696</v>
      </c>
      <c r="L573" t="s">
        <v>26</v>
      </c>
      <c r="M573" t="s">
        <v>27</v>
      </c>
      <c r="O573" t="s">
        <v>37</v>
      </c>
      <c r="Q573">
        <f t="shared" si="32"/>
        <v>1</v>
      </c>
      <c r="R573" s="3">
        <f t="shared" si="33"/>
        <v>5</v>
      </c>
      <c r="S573">
        <f t="shared" si="34"/>
        <v>0</v>
      </c>
      <c r="T573">
        <f t="shared" si="35"/>
        <v>0</v>
      </c>
    </row>
    <row r="574" spans="1:20" x14ac:dyDescent="0.25">
      <c r="A574" t="s">
        <v>640</v>
      </c>
      <c r="B574">
        <v>573</v>
      </c>
      <c r="C574" t="s">
        <v>78</v>
      </c>
      <c r="D574" t="s">
        <v>30</v>
      </c>
      <c r="E574" t="s">
        <v>56</v>
      </c>
      <c r="F574" s="2">
        <v>45977</v>
      </c>
      <c r="G574" s="2">
        <v>45977</v>
      </c>
      <c r="H574" t="s">
        <v>41</v>
      </c>
      <c r="I574" t="s">
        <v>83</v>
      </c>
      <c r="J574" s="2">
        <v>45980</v>
      </c>
      <c r="K574" s="2">
        <v>45980</v>
      </c>
      <c r="L574" t="s">
        <v>26</v>
      </c>
      <c r="M574" t="s">
        <v>57</v>
      </c>
      <c r="O574" t="s">
        <v>28</v>
      </c>
      <c r="Q574">
        <f t="shared" si="32"/>
        <v>1</v>
      </c>
      <c r="R574" s="3">
        <f t="shared" si="33"/>
        <v>3</v>
      </c>
      <c r="S574">
        <f t="shared" si="34"/>
        <v>0</v>
      </c>
      <c r="T574">
        <f t="shared" si="35"/>
        <v>0</v>
      </c>
    </row>
    <row r="575" spans="1:20" x14ac:dyDescent="0.25">
      <c r="A575" t="s">
        <v>641</v>
      </c>
      <c r="B575">
        <v>574</v>
      </c>
      <c r="C575" t="s">
        <v>21</v>
      </c>
      <c r="D575" t="s">
        <v>52</v>
      </c>
      <c r="E575" t="s">
        <v>40</v>
      </c>
      <c r="F575" s="2">
        <v>45794</v>
      </c>
      <c r="G575" s="2">
        <v>45795</v>
      </c>
      <c r="H575" t="s">
        <v>45</v>
      </c>
      <c r="I575" t="s">
        <v>42</v>
      </c>
      <c r="J575" s="2">
        <v>45797</v>
      </c>
      <c r="K575" s="2">
        <v>45797</v>
      </c>
      <c r="L575" t="s">
        <v>26</v>
      </c>
      <c r="M575" t="s">
        <v>57</v>
      </c>
      <c r="O575" t="s">
        <v>43</v>
      </c>
      <c r="Q575">
        <f t="shared" si="32"/>
        <v>1</v>
      </c>
      <c r="R575" s="3">
        <f t="shared" si="33"/>
        <v>3</v>
      </c>
      <c r="S575">
        <f t="shared" si="34"/>
        <v>0</v>
      </c>
      <c r="T575">
        <f t="shared" si="35"/>
        <v>0</v>
      </c>
    </row>
    <row r="576" spans="1:20" x14ac:dyDescent="0.25">
      <c r="A576" t="s">
        <v>642</v>
      </c>
      <c r="B576">
        <v>575</v>
      </c>
      <c r="C576" t="s">
        <v>21</v>
      </c>
      <c r="D576" t="s">
        <v>22</v>
      </c>
      <c r="E576" t="s">
        <v>56</v>
      </c>
      <c r="F576" s="2">
        <v>46018</v>
      </c>
      <c r="G576" s="2">
        <v>46018</v>
      </c>
      <c r="H576" t="s">
        <v>24</v>
      </c>
      <c r="I576" t="s">
        <v>54</v>
      </c>
      <c r="J576" s="2">
        <v>46020</v>
      </c>
      <c r="K576" s="2">
        <v>46020</v>
      </c>
      <c r="L576" t="s">
        <v>26</v>
      </c>
      <c r="M576" t="s">
        <v>57</v>
      </c>
      <c r="O576" t="s">
        <v>81</v>
      </c>
      <c r="Q576">
        <f t="shared" si="32"/>
        <v>1</v>
      </c>
      <c r="R576" s="3">
        <f t="shared" si="33"/>
        <v>2</v>
      </c>
      <c r="S576">
        <f t="shared" si="34"/>
        <v>0</v>
      </c>
      <c r="T576">
        <f t="shared" si="35"/>
        <v>0</v>
      </c>
    </row>
    <row r="577" spans="1:20" x14ac:dyDescent="0.25">
      <c r="A577" t="s">
        <v>643</v>
      </c>
      <c r="B577">
        <v>576</v>
      </c>
      <c r="C577" t="s">
        <v>78</v>
      </c>
      <c r="D577" t="s">
        <v>39</v>
      </c>
      <c r="E577" t="s">
        <v>60</v>
      </c>
      <c r="F577" s="2">
        <v>45827</v>
      </c>
      <c r="G577" s="2">
        <v>45829</v>
      </c>
      <c r="H577" t="s">
        <v>31</v>
      </c>
      <c r="I577" t="s">
        <v>25</v>
      </c>
      <c r="J577" s="2">
        <v>45833</v>
      </c>
      <c r="K577" s="2">
        <v>45836</v>
      </c>
      <c r="L577" t="s">
        <v>26</v>
      </c>
      <c r="M577" t="s">
        <v>32</v>
      </c>
      <c r="N577" t="s">
        <v>49</v>
      </c>
      <c r="O577" t="s">
        <v>69</v>
      </c>
      <c r="Q577">
        <f t="shared" si="32"/>
        <v>0</v>
      </c>
      <c r="R577" s="3">
        <f t="shared" si="33"/>
        <v>6</v>
      </c>
      <c r="S577">
        <f t="shared" si="34"/>
        <v>1</v>
      </c>
      <c r="T577">
        <f t="shared" si="35"/>
        <v>0</v>
      </c>
    </row>
    <row r="578" spans="1:20" x14ac:dyDescent="0.25">
      <c r="A578" t="s">
        <v>644</v>
      </c>
      <c r="B578">
        <v>577</v>
      </c>
      <c r="C578" t="s">
        <v>21</v>
      </c>
      <c r="D578" t="s">
        <v>39</v>
      </c>
      <c r="E578" t="s">
        <v>60</v>
      </c>
      <c r="F578" s="2">
        <v>45729</v>
      </c>
      <c r="G578" s="2">
        <v>45731</v>
      </c>
      <c r="H578" t="s">
        <v>41</v>
      </c>
      <c r="I578" t="s">
        <v>42</v>
      </c>
      <c r="J578" s="2">
        <v>45734</v>
      </c>
      <c r="K578" s="2">
        <v>45734</v>
      </c>
      <c r="L578" t="s">
        <v>26</v>
      </c>
      <c r="M578" t="s">
        <v>27</v>
      </c>
      <c r="O578" t="s">
        <v>81</v>
      </c>
      <c r="P578" t="s">
        <v>93</v>
      </c>
      <c r="Q578">
        <f t="shared" si="32"/>
        <v>1</v>
      </c>
      <c r="R578" s="3">
        <f t="shared" si="33"/>
        <v>5</v>
      </c>
      <c r="S578">
        <f t="shared" si="34"/>
        <v>0</v>
      </c>
      <c r="T578">
        <f t="shared" si="35"/>
        <v>0</v>
      </c>
    </row>
    <row r="579" spans="1:20" x14ac:dyDescent="0.25">
      <c r="A579" t="s">
        <v>645</v>
      </c>
      <c r="B579">
        <v>578</v>
      </c>
      <c r="C579" t="s">
        <v>51</v>
      </c>
      <c r="D579" t="s">
        <v>52</v>
      </c>
      <c r="E579" t="s">
        <v>53</v>
      </c>
      <c r="F579" s="2">
        <v>45947</v>
      </c>
      <c r="G579" s="2">
        <v>45949</v>
      </c>
      <c r="H579" t="s">
        <v>41</v>
      </c>
      <c r="I579" t="s">
        <v>85</v>
      </c>
      <c r="J579" s="2">
        <v>45951</v>
      </c>
      <c r="K579" s="2">
        <v>45951</v>
      </c>
      <c r="L579" t="s">
        <v>46</v>
      </c>
      <c r="M579" t="s">
        <v>57</v>
      </c>
      <c r="O579" t="s">
        <v>81</v>
      </c>
      <c r="P579" t="s">
        <v>71</v>
      </c>
      <c r="Q579">
        <f t="shared" ref="Q579:Q642" si="36">IF(K579&lt;=J579,1,0)</f>
        <v>1</v>
      </c>
      <c r="R579" s="3">
        <f t="shared" ref="R579:R642" si="37">(J579-F579)</f>
        <v>4</v>
      </c>
      <c r="S579">
        <f t="shared" ref="S579:S642" si="38">IF(M579="Delayed",1,0)</f>
        <v>0</v>
      </c>
      <c r="T579">
        <f t="shared" ref="T579:T642" si="39">IF(L579="n",1,0)</f>
        <v>1</v>
      </c>
    </row>
    <row r="580" spans="1:20" x14ac:dyDescent="0.25">
      <c r="A580" t="s">
        <v>646</v>
      </c>
      <c r="B580">
        <v>579</v>
      </c>
      <c r="C580" t="s">
        <v>36</v>
      </c>
      <c r="D580" t="s">
        <v>39</v>
      </c>
      <c r="E580" t="s">
        <v>40</v>
      </c>
      <c r="F580" s="2">
        <v>45932</v>
      </c>
      <c r="G580" s="2">
        <v>45932</v>
      </c>
      <c r="H580" t="s">
        <v>61</v>
      </c>
      <c r="I580" t="s">
        <v>62</v>
      </c>
      <c r="J580" s="2">
        <v>45938</v>
      </c>
      <c r="K580" s="2">
        <v>45938</v>
      </c>
      <c r="L580" t="s">
        <v>26</v>
      </c>
      <c r="M580" t="s">
        <v>27</v>
      </c>
      <c r="O580" t="s">
        <v>34</v>
      </c>
      <c r="P580" t="s">
        <v>71</v>
      </c>
      <c r="Q580">
        <f t="shared" si="36"/>
        <v>1</v>
      </c>
      <c r="R580" s="3">
        <f t="shared" si="37"/>
        <v>6</v>
      </c>
      <c r="S580">
        <f t="shared" si="38"/>
        <v>0</v>
      </c>
      <c r="T580">
        <f t="shared" si="39"/>
        <v>0</v>
      </c>
    </row>
    <row r="581" spans="1:20" x14ac:dyDescent="0.25">
      <c r="A581" t="s">
        <v>647</v>
      </c>
      <c r="B581">
        <v>580</v>
      </c>
      <c r="C581" t="s">
        <v>78</v>
      </c>
      <c r="D581" t="s">
        <v>52</v>
      </c>
      <c r="E581" t="s">
        <v>23</v>
      </c>
      <c r="F581" s="2">
        <v>46008</v>
      </c>
      <c r="G581" s="2">
        <v>46010</v>
      </c>
      <c r="H581" t="s">
        <v>24</v>
      </c>
      <c r="I581" t="s">
        <v>85</v>
      </c>
      <c r="J581" s="2">
        <v>46011</v>
      </c>
      <c r="K581" s="2">
        <v>46013</v>
      </c>
      <c r="L581" t="s">
        <v>26</v>
      </c>
      <c r="M581" t="s">
        <v>32</v>
      </c>
      <c r="N581" t="s">
        <v>47</v>
      </c>
      <c r="O581" t="s">
        <v>37</v>
      </c>
      <c r="P581" t="s">
        <v>93</v>
      </c>
      <c r="Q581">
        <f t="shared" si="36"/>
        <v>0</v>
      </c>
      <c r="R581" s="3">
        <f t="shared" si="37"/>
        <v>3</v>
      </c>
      <c r="S581">
        <f t="shared" si="38"/>
        <v>1</v>
      </c>
      <c r="T581">
        <f t="shared" si="39"/>
        <v>0</v>
      </c>
    </row>
    <row r="582" spans="1:20" x14ac:dyDescent="0.25">
      <c r="A582" t="s">
        <v>648</v>
      </c>
      <c r="B582">
        <v>581</v>
      </c>
      <c r="C582" t="s">
        <v>51</v>
      </c>
      <c r="D582" t="s">
        <v>39</v>
      </c>
      <c r="E582" t="s">
        <v>53</v>
      </c>
      <c r="F582" s="2">
        <v>45721</v>
      </c>
      <c r="G582" s="2">
        <v>45722</v>
      </c>
      <c r="H582" t="s">
        <v>24</v>
      </c>
      <c r="I582" t="s">
        <v>85</v>
      </c>
      <c r="J582" s="2">
        <v>45724</v>
      </c>
      <c r="K582" s="2">
        <v>45725</v>
      </c>
      <c r="L582" t="s">
        <v>26</v>
      </c>
      <c r="M582" t="s">
        <v>57</v>
      </c>
      <c r="O582" t="s">
        <v>28</v>
      </c>
      <c r="Q582">
        <f t="shared" si="36"/>
        <v>0</v>
      </c>
      <c r="R582" s="3">
        <f t="shared" si="37"/>
        <v>3</v>
      </c>
      <c r="S582">
        <f t="shared" si="38"/>
        <v>0</v>
      </c>
      <c r="T582">
        <f t="shared" si="39"/>
        <v>0</v>
      </c>
    </row>
    <row r="583" spans="1:20" x14ac:dyDescent="0.25">
      <c r="A583" t="s">
        <v>649</v>
      </c>
      <c r="B583">
        <v>582</v>
      </c>
      <c r="C583" t="s">
        <v>78</v>
      </c>
      <c r="D583" t="s">
        <v>30</v>
      </c>
      <c r="E583" t="s">
        <v>40</v>
      </c>
      <c r="F583" s="2">
        <v>45970</v>
      </c>
      <c r="G583" s="2">
        <v>45972</v>
      </c>
      <c r="H583" t="s">
        <v>61</v>
      </c>
      <c r="I583" t="s">
        <v>85</v>
      </c>
      <c r="J583" s="2">
        <v>45974</v>
      </c>
      <c r="K583" s="2">
        <v>45974</v>
      </c>
      <c r="L583" t="s">
        <v>26</v>
      </c>
      <c r="M583" t="s">
        <v>57</v>
      </c>
      <c r="O583" t="s">
        <v>34</v>
      </c>
      <c r="P583" t="s">
        <v>71</v>
      </c>
      <c r="Q583">
        <f t="shared" si="36"/>
        <v>1</v>
      </c>
      <c r="R583" s="3">
        <f t="shared" si="37"/>
        <v>4</v>
      </c>
      <c r="S583">
        <f t="shared" si="38"/>
        <v>0</v>
      </c>
      <c r="T583">
        <f t="shared" si="39"/>
        <v>0</v>
      </c>
    </row>
    <row r="584" spans="1:20" x14ac:dyDescent="0.25">
      <c r="A584" t="s">
        <v>650</v>
      </c>
      <c r="B584">
        <v>583</v>
      </c>
      <c r="C584" t="s">
        <v>78</v>
      </c>
      <c r="D584" t="s">
        <v>39</v>
      </c>
      <c r="E584" t="s">
        <v>56</v>
      </c>
      <c r="F584" s="2">
        <v>45966</v>
      </c>
      <c r="G584" s="2">
        <v>45967</v>
      </c>
      <c r="H584" t="s">
        <v>45</v>
      </c>
      <c r="I584" t="s">
        <v>83</v>
      </c>
      <c r="J584" s="2">
        <v>45972</v>
      </c>
      <c r="K584" s="2">
        <v>45972</v>
      </c>
      <c r="L584" t="s">
        <v>46</v>
      </c>
      <c r="M584" t="s">
        <v>27</v>
      </c>
      <c r="O584" t="s">
        <v>28</v>
      </c>
      <c r="Q584">
        <f t="shared" si="36"/>
        <v>1</v>
      </c>
      <c r="R584" s="3">
        <f t="shared" si="37"/>
        <v>6</v>
      </c>
      <c r="S584">
        <f t="shared" si="38"/>
        <v>0</v>
      </c>
      <c r="T584">
        <f t="shared" si="39"/>
        <v>1</v>
      </c>
    </row>
    <row r="585" spans="1:20" x14ac:dyDescent="0.25">
      <c r="A585" t="s">
        <v>651</v>
      </c>
      <c r="B585">
        <v>584</v>
      </c>
      <c r="C585" t="s">
        <v>36</v>
      </c>
      <c r="D585" t="s">
        <v>64</v>
      </c>
      <c r="E585" t="s">
        <v>53</v>
      </c>
      <c r="F585" s="2">
        <v>45779</v>
      </c>
      <c r="G585" s="2">
        <v>45780</v>
      </c>
      <c r="H585" t="s">
        <v>45</v>
      </c>
      <c r="I585" t="s">
        <v>73</v>
      </c>
      <c r="J585" s="2">
        <v>45781</v>
      </c>
      <c r="K585" s="2">
        <v>45783</v>
      </c>
      <c r="L585" t="s">
        <v>26</v>
      </c>
      <c r="M585" t="s">
        <v>32</v>
      </c>
      <c r="N585" t="s">
        <v>33</v>
      </c>
      <c r="O585" t="s">
        <v>37</v>
      </c>
      <c r="Q585">
        <f t="shared" si="36"/>
        <v>0</v>
      </c>
      <c r="R585" s="3">
        <f t="shared" si="37"/>
        <v>2</v>
      </c>
      <c r="S585">
        <f t="shared" si="38"/>
        <v>1</v>
      </c>
      <c r="T585">
        <f t="shared" si="39"/>
        <v>0</v>
      </c>
    </row>
    <row r="586" spans="1:20" x14ac:dyDescent="0.25">
      <c r="A586" t="s">
        <v>652</v>
      </c>
      <c r="B586">
        <v>585</v>
      </c>
      <c r="C586" t="s">
        <v>21</v>
      </c>
      <c r="D586" t="s">
        <v>64</v>
      </c>
      <c r="E586" t="s">
        <v>56</v>
      </c>
      <c r="F586" s="2">
        <v>45865</v>
      </c>
      <c r="G586" s="2">
        <v>45866</v>
      </c>
      <c r="H586" t="s">
        <v>45</v>
      </c>
      <c r="I586" t="s">
        <v>42</v>
      </c>
      <c r="J586" s="2">
        <v>45869</v>
      </c>
      <c r="K586" s="2">
        <v>45869</v>
      </c>
      <c r="L586" t="s">
        <v>46</v>
      </c>
      <c r="M586" t="s">
        <v>27</v>
      </c>
      <c r="O586" t="s">
        <v>28</v>
      </c>
      <c r="Q586">
        <f t="shared" si="36"/>
        <v>1</v>
      </c>
      <c r="R586" s="3">
        <f t="shared" si="37"/>
        <v>4</v>
      </c>
      <c r="S586">
        <f t="shared" si="38"/>
        <v>0</v>
      </c>
      <c r="T586">
        <f t="shared" si="39"/>
        <v>1</v>
      </c>
    </row>
    <row r="587" spans="1:20" x14ac:dyDescent="0.25">
      <c r="A587" t="s">
        <v>653</v>
      </c>
      <c r="B587">
        <v>586</v>
      </c>
      <c r="C587" t="s">
        <v>78</v>
      </c>
      <c r="D587" t="s">
        <v>39</v>
      </c>
      <c r="E587" t="s">
        <v>23</v>
      </c>
      <c r="F587" s="2">
        <v>45926</v>
      </c>
      <c r="G587" s="2">
        <v>45927</v>
      </c>
      <c r="H587" t="s">
        <v>61</v>
      </c>
      <c r="I587" t="s">
        <v>62</v>
      </c>
      <c r="J587" s="2">
        <v>45931</v>
      </c>
      <c r="K587" s="2">
        <v>45931</v>
      </c>
      <c r="L587" t="s">
        <v>46</v>
      </c>
      <c r="M587" t="s">
        <v>27</v>
      </c>
      <c r="O587" t="s">
        <v>37</v>
      </c>
      <c r="Q587">
        <f t="shared" si="36"/>
        <v>1</v>
      </c>
      <c r="R587" s="3">
        <f t="shared" si="37"/>
        <v>5</v>
      </c>
      <c r="S587">
        <f t="shared" si="38"/>
        <v>0</v>
      </c>
      <c r="T587">
        <f t="shared" si="39"/>
        <v>1</v>
      </c>
    </row>
    <row r="588" spans="1:20" x14ac:dyDescent="0.25">
      <c r="A588" t="s">
        <v>654</v>
      </c>
      <c r="B588">
        <v>587</v>
      </c>
      <c r="C588" t="s">
        <v>59</v>
      </c>
      <c r="D588" t="s">
        <v>22</v>
      </c>
      <c r="E588" t="s">
        <v>60</v>
      </c>
      <c r="F588" s="2">
        <v>45748</v>
      </c>
      <c r="G588" s="2">
        <v>45748</v>
      </c>
      <c r="H588" t="s">
        <v>45</v>
      </c>
      <c r="I588" t="s">
        <v>83</v>
      </c>
      <c r="J588" s="2">
        <v>45751</v>
      </c>
      <c r="K588" s="2">
        <v>45751</v>
      </c>
      <c r="L588" t="s">
        <v>26</v>
      </c>
      <c r="M588" t="s">
        <v>27</v>
      </c>
      <c r="O588" t="s">
        <v>43</v>
      </c>
      <c r="Q588">
        <f t="shared" si="36"/>
        <v>1</v>
      </c>
      <c r="R588" s="3">
        <f t="shared" si="37"/>
        <v>3</v>
      </c>
      <c r="S588">
        <f t="shared" si="38"/>
        <v>0</v>
      </c>
      <c r="T588">
        <f t="shared" si="39"/>
        <v>0</v>
      </c>
    </row>
    <row r="589" spans="1:20" x14ac:dyDescent="0.25">
      <c r="A589" t="s">
        <v>655</v>
      </c>
      <c r="B589">
        <v>588</v>
      </c>
      <c r="C589" t="s">
        <v>21</v>
      </c>
      <c r="D589" t="s">
        <v>52</v>
      </c>
      <c r="E589" t="s">
        <v>23</v>
      </c>
      <c r="F589" s="2">
        <v>45978</v>
      </c>
      <c r="G589" s="2">
        <v>45980</v>
      </c>
      <c r="H589" t="s">
        <v>45</v>
      </c>
      <c r="I589" t="s">
        <v>73</v>
      </c>
      <c r="J589" s="2">
        <v>45981</v>
      </c>
      <c r="K589" s="2">
        <v>45981</v>
      </c>
      <c r="L589" t="s">
        <v>26</v>
      </c>
      <c r="M589" t="s">
        <v>57</v>
      </c>
      <c r="O589" t="s">
        <v>28</v>
      </c>
      <c r="P589" t="s">
        <v>71</v>
      </c>
      <c r="Q589">
        <f t="shared" si="36"/>
        <v>1</v>
      </c>
      <c r="R589" s="3">
        <f t="shared" si="37"/>
        <v>3</v>
      </c>
      <c r="S589">
        <f t="shared" si="38"/>
        <v>0</v>
      </c>
      <c r="T589">
        <f t="shared" si="39"/>
        <v>0</v>
      </c>
    </row>
    <row r="590" spans="1:20" x14ac:dyDescent="0.25">
      <c r="A590" t="s">
        <v>656</v>
      </c>
      <c r="B590">
        <v>589</v>
      </c>
      <c r="C590" t="s">
        <v>51</v>
      </c>
      <c r="D590" t="s">
        <v>30</v>
      </c>
      <c r="E590" t="s">
        <v>56</v>
      </c>
      <c r="F590" s="2">
        <v>45933</v>
      </c>
      <c r="G590" s="2">
        <v>45935</v>
      </c>
      <c r="H590" t="s">
        <v>31</v>
      </c>
      <c r="I590" t="s">
        <v>54</v>
      </c>
      <c r="J590" s="2">
        <v>45936</v>
      </c>
      <c r="K590" s="2">
        <v>45937</v>
      </c>
      <c r="L590" t="s">
        <v>46</v>
      </c>
      <c r="M590" t="s">
        <v>27</v>
      </c>
      <c r="O590" t="s">
        <v>69</v>
      </c>
      <c r="Q590">
        <f t="shared" si="36"/>
        <v>0</v>
      </c>
      <c r="R590" s="3">
        <f t="shared" si="37"/>
        <v>3</v>
      </c>
      <c r="S590">
        <f t="shared" si="38"/>
        <v>0</v>
      </c>
      <c r="T590">
        <f t="shared" si="39"/>
        <v>1</v>
      </c>
    </row>
    <row r="591" spans="1:20" x14ac:dyDescent="0.25">
      <c r="A591" t="s">
        <v>657</v>
      </c>
      <c r="B591">
        <v>590</v>
      </c>
      <c r="C591" t="s">
        <v>51</v>
      </c>
      <c r="D591" t="s">
        <v>64</v>
      </c>
      <c r="E591" t="s">
        <v>40</v>
      </c>
      <c r="F591" s="2">
        <v>45962</v>
      </c>
      <c r="G591" s="2">
        <v>45964</v>
      </c>
      <c r="H591" t="s">
        <v>41</v>
      </c>
      <c r="I591" t="s">
        <v>85</v>
      </c>
      <c r="J591" s="2">
        <v>45967</v>
      </c>
      <c r="K591" s="2">
        <v>45967</v>
      </c>
      <c r="L591" t="s">
        <v>26</v>
      </c>
      <c r="M591" t="s">
        <v>27</v>
      </c>
      <c r="O591" t="s">
        <v>34</v>
      </c>
      <c r="Q591">
        <f t="shared" si="36"/>
        <v>1</v>
      </c>
      <c r="R591" s="3">
        <f t="shared" si="37"/>
        <v>5</v>
      </c>
      <c r="S591">
        <f t="shared" si="38"/>
        <v>0</v>
      </c>
      <c r="T591">
        <f t="shared" si="39"/>
        <v>0</v>
      </c>
    </row>
    <row r="592" spans="1:20" x14ac:dyDescent="0.25">
      <c r="A592" t="s">
        <v>658</v>
      </c>
      <c r="B592">
        <v>591</v>
      </c>
      <c r="C592" t="s">
        <v>51</v>
      </c>
      <c r="D592" t="s">
        <v>30</v>
      </c>
      <c r="E592" t="s">
        <v>53</v>
      </c>
      <c r="F592" s="2">
        <v>45856</v>
      </c>
      <c r="G592" s="2">
        <v>45856</v>
      </c>
      <c r="H592" t="s">
        <v>24</v>
      </c>
      <c r="I592" t="s">
        <v>62</v>
      </c>
      <c r="J592" s="2">
        <v>45860</v>
      </c>
      <c r="K592" s="2">
        <v>45860</v>
      </c>
      <c r="L592" t="s">
        <v>26</v>
      </c>
      <c r="M592" t="s">
        <v>57</v>
      </c>
      <c r="O592" t="s">
        <v>43</v>
      </c>
      <c r="Q592">
        <f t="shared" si="36"/>
        <v>1</v>
      </c>
      <c r="R592" s="3">
        <f t="shared" si="37"/>
        <v>4</v>
      </c>
      <c r="S592">
        <f t="shared" si="38"/>
        <v>0</v>
      </c>
      <c r="T592">
        <f t="shared" si="39"/>
        <v>0</v>
      </c>
    </row>
    <row r="593" spans="1:20" x14ac:dyDescent="0.25">
      <c r="A593" t="s">
        <v>659</v>
      </c>
      <c r="B593">
        <v>592</v>
      </c>
      <c r="C593" t="s">
        <v>51</v>
      </c>
      <c r="D593" t="s">
        <v>64</v>
      </c>
      <c r="E593" t="s">
        <v>56</v>
      </c>
      <c r="F593" s="2">
        <v>45870</v>
      </c>
      <c r="G593" s="2">
        <v>45870</v>
      </c>
      <c r="H593" t="s">
        <v>24</v>
      </c>
      <c r="I593" t="s">
        <v>73</v>
      </c>
      <c r="J593" s="2">
        <v>45875</v>
      </c>
      <c r="K593" s="2">
        <v>45875</v>
      </c>
      <c r="L593" t="s">
        <v>26</v>
      </c>
      <c r="M593" t="s">
        <v>57</v>
      </c>
      <c r="O593" t="s">
        <v>43</v>
      </c>
      <c r="Q593">
        <f t="shared" si="36"/>
        <v>1</v>
      </c>
      <c r="R593" s="3">
        <f t="shared" si="37"/>
        <v>5</v>
      </c>
      <c r="S593">
        <f t="shared" si="38"/>
        <v>0</v>
      </c>
      <c r="T593">
        <f t="shared" si="39"/>
        <v>0</v>
      </c>
    </row>
    <row r="594" spans="1:20" x14ac:dyDescent="0.25">
      <c r="A594" t="s">
        <v>660</v>
      </c>
      <c r="B594">
        <v>593</v>
      </c>
      <c r="C594" t="s">
        <v>21</v>
      </c>
      <c r="D594" t="s">
        <v>64</v>
      </c>
      <c r="E594" t="s">
        <v>40</v>
      </c>
      <c r="F594" s="2">
        <v>45742</v>
      </c>
      <c r="G594" s="2">
        <v>45742</v>
      </c>
      <c r="H594" t="s">
        <v>41</v>
      </c>
      <c r="I594" t="s">
        <v>54</v>
      </c>
      <c r="J594" s="2">
        <v>45745</v>
      </c>
      <c r="K594" s="2">
        <v>45745</v>
      </c>
      <c r="L594" t="s">
        <v>26</v>
      </c>
      <c r="M594" t="s">
        <v>57</v>
      </c>
      <c r="O594" t="s">
        <v>69</v>
      </c>
      <c r="Q594">
        <f t="shared" si="36"/>
        <v>1</v>
      </c>
      <c r="R594" s="3">
        <f t="shared" si="37"/>
        <v>3</v>
      </c>
      <c r="S594">
        <f t="shared" si="38"/>
        <v>0</v>
      </c>
      <c r="T594">
        <f t="shared" si="39"/>
        <v>0</v>
      </c>
    </row>
    <row r="595" spans="1:20" x14ac:dyDescent="0.25">
      <c r="A595" t="s">
        <v>661</v>
      </c>
      <c r="B595">
        <v>594</v>
      </c>
      <c r="C595" t="s">
        <v>36</v>
      </c>
      <c r="D595" t="s">
        <v>52</v>
      </c>
      <c r="E595" t="s">
        <v>53</v>
      </c>
      <c r="F595" s="2">
        <v>45792</v>
      </c>
      <c r="G595" s="2">
        <v>45792</v>
      </c>
      <c r="H595" t="s">
        <v>24</v>
      </c>
      <c r="I595" t="s">
        <v>62</v>
      </c>
      <c r="J595" s="2">
        <v>45793</v>
      </c>
      <c r="K595" s="2">
        <v>45793</v>
      </c>
      <c r="L595" t="s">
        <v>26</v>
      </c>
      <c r="M595" t="s">
        <v>57</v>
      </c>
      <c r="O595" t="s">
        <v>28</v>
      </c>
      <c r="Q595">
        <f t="shared" si="36"/>
        <v>1</v>
      </c>
      <c r="R595" s="3">
        <f t="shared" si="37"/>
        <v>1</v>
      </c>
      <c r="S595">
        <f t="shared" si="38"/>
        <v>0</v>
      </c>
      <c r="T595">
        <f t="shared" si="39"/>
        <v>0</v>
      </c>
    </row>
    <row r="596" spans="1:20" x14ac:dyDescent="0.25">
      <c r="A596" t="s">
        <v>662</v>
      </c>
      <c r="B596">
        <v>595</v>
      </c>
      <c r="C596" t="s">
        <v>51</v>
      </c>
      <c r="D596" t="s">
        <v>52</v>
      </c>
      <c r="E596" t="s">
        <v>40</v>
      </c>
      <c r="F596" s="2">
        <v>45943</v>
      </c>
      <c r="G596" s="2">
        <v>45943</v>
      </c>
      <c r="H596" t="s">
        <v>31</v>
      </c>
      <c r="I596" t="s">
        <v>83</v>
      </c>
      <c r="J596" s="2">
        <v>45947</v>
      </c>
      <c r="K596" s="2">
        <v>45947</v>
      </c>
      <c r="L596" t="s">
        <v>26</v>
      </c>
      <c r="M596" t="s">
        <v>27</v>
      </c>
      <c r="O596" t="s">
        <v>28</v>
      </c>
      <c r="Q596">
        <f t="shared" si="36"/>
        <v>1</v>
      </c>
      <c r="R596" s="3">
        <f t="shared" si="37"/>
        <v>4</v>
      </c>
      <c r="S596">
        <f t="shared" si="38"/>
        <v>0</v>
      </c>
      <c r="T596">
        <f t="shared" si="39"/>
        <v>0</v>
      </c>
    </row>
    <row r="597" spans="1:20" x14ac:dyDescent="0.25">
      <c r="A597" t="s">
        <v>663</v>
      </c>
      <c r="B597">
        <v>596</v>
      </c>
      <c r="C597" t="s">
        <v>59</v>
      </c>
      <c r="D597" t="s">
        <v>64</v>
      </c>
      <c r="E597" t="s">
        <v>56</v>
      </c>
      <c r="F597" s="2">
        <v>45994</v>
      </c>
      <c r="G597" s="2">
        <v>45996</v>
      </c>
      <c r="H597" t="s">
        <v>41</v>
      </c>
      <c r="I597" t="s">
        <v>42</v>
      </c>
      <c r="J597" s="2">
        <v>45998</v>
      </c>
      <c r="K597" s="2">
        <v>46001</v>
      </c>
      <c r="L597" t="s">
        <v>26</v>
      </c>
      <c r="M597" t="s">
        <v>32</v>
      </c>
      <c r="N597" t="s">
        <v>264</v>
      </c>
      <c r="O597" t="s">
        <v>37</v>
      </c>
      <c r="P597" t="s">
        <v>93</v>
      </c>
      <c r="Q597">
        <f t="shared" si="36"/>
        <v>0</v>
      </c>
      <c r="R597" s="3">
        <f t="shared" si="37"/>
        <v>4</v>
      </c>
      <c r="S597">
        <f t="shared" si="38"/>
        <v>1</v>
      </c>
      <c r="T597">
        <f t="shared" si="39"/>
        <v>0</v>
      </c>
    </row>
    <row r="598" spans="1:20" x14ac:dyDescent="0.25">
      <c r="A598" t="s">
        <v>664</v>
      </c>
      <c r="B598">
        <v>597</v>
      </c>
      <c r="C598" t="s">
        <v>51</v>
      </c>
      <c r="D598" t="s">
        <v>39</v>
      </c>
      <c r="E598" t="s">
        <v>56</v>
      </c>
      <c r="F598" s="2">
        <v>45720</v>
      </c>
      <c r="G598" s="2">
        <v>45722</v>
      </c>
      <c r="H598" t="s">
        <v>45</v>
      </c>
      <c r="I598" t="s">
        <v>73</v>
      </c>
      <c r="J598" s="2">
        <v>45726</v>
      </c>
      <c r="K598" s="2">
        <v>45726</v>
      </c>
      <c r="L598" t="s">
        <v>26</v>
      </c>
      <c r="M598" t="s">
        <v>27</v>
      </c>
      <c r="O598" t="s">
        <v>37</v>
      </c>
      <c r="P598" t="s">
        <v>93</v>
      </c>
      <c r="Q598">
        <f t="shared" si="36"/>
        <v>1</v>
      </c>
      <c r="R598" s="3">
        <f t="shared" si="37"/>
        <v>6</v>
      </c>
      <c r="S598">
        <f t="shared" si="38"/>
        <v>0</v>
      </c>
      <c r="T598">
        <f t="shared" si="39"/>
        <v>0</v>
      </c>
    </row>
    <row r="599" spans="1:20" x14ac:dyDescent="0.25">
      <c r="A599" t="s">
        <v>665</v>
      </c>
      <c r="B599">
        <v>598</v>
      </c>
      <c r="C599" t="s">
        <v>21</v>
      </c>
      <c r="D599" t="s">
        <v>52</v>
      </c>
      <c r="E599" t="s">
        <v>60</v>
      </c>
      <c r="F599" s="2">
        <v>45669</v>
      </c>
      <c r="G599" s="2">
        <v>45670</v>
      </c>
      <c r="H599" t="s">
        <v>41</v>
      </c>
      <c r="I599" t="s">
        <v>25</v>
      </c>
      <c r="J599" s="2">
        <v>45675</v>
      </c>
      <c r="K599" s="2">
        <v>45675</v>
      </c>
      <c r="L599" t="s">
        <v>26</v>
      </c>
      <c r="M599" t="s">
        <v>57</v>
      </c>
      <c r="O599" t="s">
        <v>43</v>
      </c>
      <c r="Q599">
        <f t="shared" si="36"/>
        <v>1</v>
      </c>
      <c r="R599" s="3">
        <f t="shared" si="37"/>
        <v>6</v>
      </c>
      <c r="S599">
        <f t="shared" si="38"/>
        <v>0</v>
      </c>
      <c r="T599">
        <f t="shared" si="39"/>
        <v>0</v>
      </c>
    </row>
    <row r="600" spans="1:20" x14ac:dyDescent="0.25">
      <c r="A600" t="s">
        <v>666</v>
      </c>
      <c r="B600">
        <v>599</v>
      </c>
      <c r="C600" t="s">
        <v>59</v>
      </c>
      <c r="D600" t="s">
        <v>39</v>
      </c>
      <c r="E600" t="s">
        <v>53</v>
      </c>
      <c r="F600" s="2">
        <v>45671</v>
      </c>
      <c r="G600" s="2">
        <v>45672</v>
      </c>
      <c r="H600" t="s">
        <v>41</v>
      </c>
      <c r="I600" t="s">
        <v>42</v>
      </c>
      <c r="J600" s="2">
        <v>45675</v>
      </c>
      <c r="K600" s="2">
        <v>45675</v>
      </c>
      <c r="L600" t="s">
        <v>26</v>
      </c>
      <c r="M600" t="s">
        <v>57</v>
      </c>
      <c r="O600" t="s">
        <v>37</v>
      </c>
      <c r="P600" t="s">
        <v>88</v>
      </c>
      <c r="Q600">
        <f t="shared" si="36"/>
        <v>1</v>
      </c>
      <c r="R600" s="3">
        <f t="shared" si="37"/>
        <v>4</v>
      </c>
      <c r="S600">
        <f t="shared" si="38"/>
        <v>0</v>
      </c>
      <c r="T600">
        <f t="shared" si="39"/>
        <v>0</v>
      </c>
    </row>
    <row r="601" spans="1:20" x14ac:dyDescent="0.25">
      <c r="A601" t="s">
        <v>667</v>
      </c>
      <c r="B601">
        <v>600</v>
      </c>
      <c r="C601" t="s">
        <v>78</v>
      </c>
      <c r="D601" t="s">
        <v>30</v>
      </c>
      <c r="E601" t="s">
        <v>40</v>
      </c>
      <c r="F601" s="2">
        <v>45842</v>
      </c>
      <c r="G601" s="2">
        <v>45842</v>
      </c>
      <c r="H601" t="s">
        <v>41</v>
      </c>
      <c r="I601" t="s">
        <v>54</v>
      </c>
      <c r="J601" s="2">
        <v>45844</v>
      </c>
      <c r="K601" s="2">
        <v>45845</v>
      </c>
      <c r="L601" t="s">
        <v>26</v>
      </c>
      <c r="M601" t="s">
        <v>27</v>
      </c>
      <c r="O601" t="s">
        <v>37</v>
      </c>
      <c r="Q601">
        <f t="shared" si="36"/>
        <v>0</v>
      </c>
      <c r="R601" s="3">
        <f t="shared" si="37"/>
        <v>2</v>
      </c>
      <c r="S601">
        <f t="shared" si="38"/>
        <v>0</v>
      </c>
      <c r="T601">
        <f t="shared" si="39"/>
        <v>0</v>
      </c>
    </row>
    <row r="602" spans="1:20" x14ac:dyDescent="0.25">
      <c r="A602" t="s">
        <v>668</v>
      </c>
      <c r="B602">
        <v>601</v>
      </c>
      <c r="C602" t="s">
        <v>59</v>
      </c>
      <c r="D602" t="s">
        <v>39</v>
      </c>
      <c r="E602" t="s">
        <v>56</v>
      </c>
      <c r="F602" s="2">
        <v>45971</v>
      </c>
      <c r="G602" s="2">
        <v>45971</v>
      </c>
      <c r="H602" t="s">
        <v>31</v>
      </c>
      <c r="I602" t="s">
        <v>73</v>
      </c>
      <c r="J602" s="2">
        <v>45976</v>
      </c>
      <c r="K602" s="2">
        <v>45977</v>
      </c>
      <c r="L602" t="s">
        <v>46</v>
      </c>
      <c r="M602" t="s">
        <v>57</v>
      </c>
      <c r="O602" t="s">
        <v>28</v>
      </c>
      <c r="P602" t="s">
        <v>88</v>
      </c>
      <c r="Q602">
        <f t="shared" si="36"/>
        <v>0</v>
      </c>
      <c r="R602" s="3">
        <f t="shared" si="37"/>
        <v>5</v>
      </c>
      <c r="S602">
        <f t="shared" si="38"/>
        <v>0</v>
      </c>
      <c r="T602">
        <f t="shared" si="39"/>
        <v>1</v>
      </c>
    </row>
    <row r="603" spans="1:20" x14ac:dyDescent="0.25">
      <c r="A603" t="s">
        <v>669</v>
      </c>
      <c r="B603">
        <v>602</v>
      </c>
      <c r="C603" t="s">
        <v>78</v>
      </c>
      <c r="D603" t="s">
        <v>30</v>
      </c>
      <c r="E603" t="s">
        <v>60</v>
      </c>
      <c r="F603" s="2">
        <v>45753</v>
      </c>
      <c r="G603" s="2">
        <v>45754</v>
      </c>
      <c r="H603" t="s">
        <v>31</v>
      </c>
      <c r="I603" t="s">
        <v>73</v>
      </c>
      <c r="J603" s="2">
        <v>45755</v>
      </c>
      <c r="K603" s="2">
        <v>45755</v>
      </c>
      <c r="L603" t="s">
        <v>26</v>
      </c>
      <c r="M603" t="s">
        <v>27</v>
      </c>
      <c r="O603" t="s">
        <v>37</v>
      </c>
      <c r="Q603">
        <f t="shared" si="36"/>
        <v>1</v>
      </c>
      <c r="R603" s="3">
        <f t="shared" si="37"/>
        <v>2</v>
      </c>
      <c r="S603">
        <f t="shared" si="38"/>
        <v>0</v>
      </c>
      <c r="T603">
        <f t="shared" si="39"/>
        <v>0</v>
      </c>
    </row>
    <row r="604" spans="1:20" x14ac:dyDescent="0.25">
      <c r="A604" t="s">
        <v>670</v>
      </c>
      <c r="B604">
        <v>603</v>
      </c>
      <c r="C604" t="s">
        <v>21</v>
      </c>
      <c r="D604" t="s">
        <v>64</v>
      </c>
      <c r="E604" t="s">
        <v>40</v>
      </c>
      <c r="F604" s="2">
        <v>45841</v>
      </c>
      <c r="G604" s="2">
        <v>45843</v>
      </c>
      <c r="H604" t="s">
        <v>41</v>
      </c>
      <c r="I604" t="s">
        <v>83</v>
      </c>
      <c r="J604" s="2">
        <v>45848</v>
      </c>
      <c r="K604" s="2">
        <v>45848</v>
      </c>
      <c r="L604" t="s">
        <v>26</v>
      </c>
      <c r="M604" t="s">
        <v>27</v>
      </c>
      <c r="O604" t="s">
        <v>28</v>
      </c>
      <c r="Q604">
        <f t="shared" si="36"/>
        <v>1</v>
      </c>
      <c r="R604" s="3">
        <f t="shared" si="37"/>
        <v>7</v>
      </c>
      <c r="S604">
        <f t="shared" si="38"/>
        <v>0</v>
      </c>
      <c r="T604">
        <f t="shared" si="39"/>
        <v>0</v>
      </c>
    </row>
    <row r="605" spans="1:20" x14ac:dyDescent="0.25">
      <c r="A605" t="s">
        <v>671</v>
      </c>
      <c r="B605">
        <v>604</v>
      </c>
      <c r="C605" t="s">
        <v>78</v>
      </c>
      <c r="D605" t="s">
        <v>52</v>
      </c>
      <c r="E605" t="s">
        <v>53</v>
      </c>
      <c r="F605" s="2">
        <v>45877</v>
      </c>
      <c r="G605" s="2">
        <v>45879</v>
      </c>
      <c r="H605" t="s">
        <v>31</v>
      </c>
      <c r="I605" t="s">
        <v>25</v>
      </c>
      <c r="J605" s="2">
        <v>45880</v>
      </c>
      <c r="K605" s="2">
        <v>45883</v>
      </c>
      <c r="L605" t="s">
        <v>26</v>
      </c>
      <c r="M605" t="s">
        <v>32</v>
      </c>
      <c r="N605" t="s">
        <v>49</v>
      </c>
      <c r="O605" t="s">
        <v>81</v>
      </c>
      <c r="Q605">
        <f t="shared" si="36"/>
        <v>0</v>
      </c>
      <c r="R605" s="3">
        <f t="shared" si="37"/>
        <v>3</v>
      </c>
      <c r="S605">
        <f t="shared" si="38"/>
        <v>1</v>
      </c>
      <c r="T605">
        <f t="shared" si="39"/>
        <v>0</v>
      </c>
    </row>
    <row r="606" spans="1:20" x14ac:dyDescent="0.25">
      <c r="A606" t="s">
        <v>672</v>
      </c>
      <c r="B606">
        <v>605</v>
      </c>
      <c r="C606" t="s">
        <v>51</v>
      </c>
      <c r="D606" t="s">
        <v>22</v>
      </c>
      <c r="E606" t="s">
        <v>60</v>
      </c>
      <c r="F606" s="2">
        <v>45976</v>
      </c>
      <c r="G606" s="2">
        <v>45976</v>
      </c>
      <c r="H606" t="s">
        <v>45</v>
      </c>
      <c r="I606" t="s">
        <v>73</v>
      </c>
      <c r="J606" s="2">
        <v>45979</v>
      </c>
      <c r="K606" s="2">
        <v>45979</v>
      </c>
      <c r="L606" t="s">
        <v>26</v>
      </c>
      <c r="M606" t="s">
        <v>57</v>
      </c>
      <c r="O606" t="s">
        <v>37</v>
      </c>
      <c r="Q606">
        <f t="shared" si="36"/>
        <v>1</v>
      </c>
      <c r="R606" s="3">
        <f t="shared" si="37"/>
        <v>3</v>
      </c>
      <c r="S606">
        <f t="shared" si="38"/>
        <v>0</v>
      </c>
      <c r="T606">
        <f t="shared" si="39"/>
        <v>0</v>
      </c>
    </row>
    <row r="607" spans="1:20" x14ac:dyDescent="0.25">
      <c r="A607" t="s">
        <v>673</v>
      </c>
      <c r="B607">
        <v>606</v>
      </c>
      <c r="C607" t="s">
        <v>51</v>
      </c>
      <c r="D607" t="s">
        <v>30</v>
      </c>
      <c r="E607" t="s">
        <v>40</v>
      </c>
      <c r="F607" s="2">
        <v>45742</v>
      </c>
      <c r="G607" s="2">
        <v>45743</v>
      </c>
      <c r="H607" t="s">
        <v>31</v>
      </c>
      <c r="I607" t="s">
        <v>83</v>
      </c>
      <c r="J607" s="2">
        <v>45744</v>
      </c>
      <c r="K607" s="2">
        <v>45747</v>
      </c>
      <c r="L607" t="s">
        <v>46</v>
      </c>
      <c r="M607" t="s">
        <v>32</v>
      </c>
      <c r="N607" t="s">
        <v>67</v>
      </c>
      <c r="O607" t="s">
        <v>34</v>
      </c>
      <c r="Q607">
        <f t="shared" si="36"/>
        <v>0</v>
      </c>
      <c r="R607" s="3">
        <f t="shared" si="37"/>
        <v>2</v>
      </c>
      <c r="S607">
        <f t="shared" si="38"/>
        <v>1</v>
      </c>
      <c r="T607">
        <f t="shared" si="39"/>
        <v>1</v>
      </c>
    </row>
    <row r="608" spans="1:20" x14ac:dyDescent="0.25">
      <c r="A608" t="s">
        <v>674</v>
      </c>
      <c r="B608">
        <v>607</v>
      </c>
      <c r="C608" t="s">
        <v>21</v>
      </c>
      <c r="D608" t="s">
        <v>39</v>
      </c>
      <c r="E608" t="s">
        <v>40</v>
      </c>
      <c r="F608" s="2">
        <v>45676</v>
      </c>
      <c r="G608" s="2">
        <v>45678</v>
      </c>
      <c r="H608" t="s">
        <v>61</v>
      </c>
      <c r="I608" t="s">
        <v>62</v>
      </c>
      <c r="J608" s="2">
        <v>45681</v>
      </c>
      <c r="K608" s="2">
        <v>45681</v>
      </c>
      <c r="L608" t="s">
        <v>26</v>
      </c>
      <c r="M608" t="s">
        <v>27</v>
      </c>
      <c r="O608" t="s">
        <v>43</v>
      </c>
      <c r="Q608">
        <f t="shared" si="36"/>
        <v>1</v>
      </c>
      <c r="R608" s="3">
        <f t="shared" si="37"/>
        <v>5</v>
      </c>
      <c r="S608">
        <f t="shared" si="38"/>
        <v>0</v>
      </c>
      <c r="T608">
        <f t="shared" si="39"/>
        <v>0</v>
      </c>
    </row>
    <row r="609" spans="1:20" x14ac:dyDescent="0.25">
      <c r="A609" t="s">
        <v>675</v>
      </c>
      <c r="B609">
        <v>608</v>
      </c>
      <c r="C609" t="s">
        <v>59</v>
      </c>
      <c r="D609" t="s">
        <v>22</v>
      </c>
      <c r="E609" t="s">
        <v>53</v>
      </c>
      <c r="F609" s="2">
        <v>45896</v>
      </c>
      <c r="G609" s="2">
        <v>45898</v>
      </c>
      <c r="H609" t="s">
        <v>41</v>
      </c>
      <c r="I609" t="s">
        <v>85</v>
      </c>
      <c r="J609" s="2">
        <v>45902</v>
      </c>
      <c r="K609" s="2">
        <v>45902</v>
      </c>
      <c r="L609" t="s">
        <v>26</v>
      </c>
      <c r="M609" t="s">
        <v>57</v>
      </c>
      <c r="O609" t="s">
        <v>37</v>
      </c>
      <c r="Q609">
        <f t="shared" si="36"/>
        <v>1</v>
      </c>
      <c r="R609" s="3">
        <f t="shared" si="37"/>
        <v>6</v>
      </c>
      <c r="S609">
        <f t="shared" si="38"/>
        <v>0</v>
      </c>
      <c r="T609">
        <f t="shared" si="39"/>
        <v>0</v>
      </c>
    </row>
    <row r="610" spans="1:20" x14ac:dyDescent="0.25">
      <c r="A610" t="s">
        <v>676</v>
      </c>
      <c r="B610">
        <v>609</v>
      </c>
      <c r="C610" t="s">
        <v>51</v>
      </c>
      <c r="D610" t="s">
        <v>30</v>
      </c>
      <c r="E610" t="s">
        <v>53</v>
      </c>
      <c r="F610" s="2">
        <v>45823</v>
      </c>
      <c r="G610" s="2">
        <v>45824</v>
      </c>
      <c r="H610" t="s">
        <v>45</v>
      </c>
      <c r="I610" t="s">
        <v>25</v>
      </c>
      <c r="J610" s="2">
        <v>45828</v>
      </c>
      <c r="K610" s="2">
        <v>45828</v>
      </c>
      <c r="L610" t="s">
        <v>26</v>
      </c>
      <c r="M610" t="s">
        <v>57</v>
      </c>
      <c r="O610" t="s">
        <v>81</v>
      </c>
      <c r="Q610">
        <f t="shared" si="36"/>
        <v>1</v>
      </c>
      <c r="R610" s="3">
        <f t="shared" si="37"/>
        <v>5</v>
      </c>
      <c r="S610">
        <f t="shared" si="38"/>
        <v>0</v>
      </c>
      <c r="T610">
        <f t="shared" si="39"/>
        <v>0</v>
      </c>
    </row>
    <row r="611" spans="1:20" x14ac:dyDescent="0.25">
      <c r="A611" t="s">
        <v>677</v>
      </c>
      <c r="B611">
        <v>610</v>
      </c>
      <c r="C611" t="s">
        <v>59</v>
      </c>
      <c r="D611" t="s">
        <v>22</v>
      </c>
      <c r="E611" t="s">
        <v>40</v>
      </c>
      <c r="F611" s="2">
        <v>45798</v>
      </c>
      <c r="G611" s="2">
        <v>45800</v>
      </c>
      <c r="H611" t="s">
        <v>31</v>
      </c>
      <c r="I611" t="s">
        <v>83</v>
      </c>
      <c r="J611" s="2">
        <v>45803</v>
      </c>
      <c r="K611" s="2">
        <v>45803</v>
      </c>
      <c r="L611" t="s">
        <v>46</v>
      </c>
      <c r="M611" t="s">
        <v>27</v>
      </c>
      <c r="O611" t="s">
        <v>34</v>
      </c>
      <c r="P611" t="s">
        <v>76</v>
      </c>
      <c r="Q611">
        <f t="shared" si="36"/>
        <v>1</v>
      </c>
      <c r="R611" s="3">
        <f t="shared" si="37"/>
        <v>5</v>
      </c>
      <c r="S611">
        <f t="shared" si="38"/>
        <v>0</v>
      </c>
      <c r="T611">
        <f t="shared" si="39"/>
        <v>1</v>
      </c>
    </row>
    <row r="612" spans="1:20" x14ac:dyDescent="0.25">
      <c r="A612" t="s">
        <v>678</v>
      </c>
      <c r="B612">
        <v>611</v>
      </c>
      <c r="C612" t="s">
        <v>36</v>
      </c>
      <c r="D612" t="s">
        <v>39</v>
      </c>
      <c r="E612" t="s">
        <v>23</v>
      </c>
      <c r="F612" s="2">
        <v>45982</v>
      </c>
      <c r="G612" s="2">
        <v>45984</v>
      </c>
      <c r="H612" t="s">
        <v>41</v>
      </c>
      <c r="I612" t="s">
        <v>54</v>
      </c>
      <c r="J612" s="2">
        <v>45987</v>
      </c>
      <c r="K612" s="2">
        <v>45987</v>
      </c>
      <c r="L612" t="s">
        <v>46</v>
      </c>
      <c r="M612" t="s">
        <v>57</v>
      </c>
      <c r="O612" t="s">
        <v>37</v>
      </c>
      <c r="Q612">
        <f t="shared" si="36"/>
        <v>1</v>
      </c>
      <c r="R612" s="3">
        <f t="shared" si="37"/>
        <v>5</v>
      </c>
      <c r="S612">
        <f t="shared" si="38"/>
        <v>0</v>
      </c>
      <c r="T612">
        <f t="shared" si="39"/>
        <v>1</v>
      </c>
    </row>
    <row r="613" spans="1:20" x14ac:dyDescent="0.25">
      <c r="A613" t="s">
        <v>679</v>
      </c>
      <c r="B613">
        <v>612</v>
      </c>
      <c r="C613" t="s">
        <v>36</v>
      </c>
      <c r="D613" t="s">
        <v>64</v>
      </c>
      <c r="E613" t="s">
        <v>23</v>
      </c>
      <c r="F613" s="2">
        <v>45947</v>
      </c>
      <c r="G613" s="2">
        <v>45947</v>
      </c>
      <c r="H613" t="s">
        <v>24</v>
      </c>
      <c r="I613" t="s">
        <v>73</v>
      </c>
      <c r="J613" s="2">
        <v>45950</v>
      </c>
      <c r="K613" s="2">
        <v>45950</v>
      </c>
      <c r="L613" t="s">
        <v>26</v>
      </c>
      <c r="M613" t="s">
        <v>57</v>
      </c>
      <c r="O613" t="s">
        <v>43</v>
      </c>
      <c r="Q613">
        <f t="shared" si="36"/>
        <v>1</v>
      </c>
      <c r="R613" s="3">
        <f t="shared" si="37"/>
        <v>3</v>
      </c>
      <c r="S613">
        <f t="shared" si="38"/>
        <v>0</v>
      </c>
      <c r="T613">
        <f t="shared" si="39"/>
        <v>0</v>
      </c>
    </row>
    <row r="614" spans="1:20" x14ac:dyDescent="0.25">
      <c r="A614" t="s">
        <v>680</v>
      </c>
      <c r="B614">
        <v>613</v>
      </c>
      <c r="C614" t="s">
        <v>59</v>
      </c>
      <c r="D614" t="s">
        <v>39</v>
      </c>
      <c r="E614" t="s">
        <v>53</v>
      </c>
      <c r="F614" s="2">
        <v>45692</v>
      </c>
      <c r="G614" s="2">
        <v>45693</v>
      </c>
      <c r="H614" t="s">
        <v>61</v>
      </c>
      <c r="I614" t="s">
        <v>54</v>
      </c>
      <c r="J614" s="2">
        <v>45696</v>
      </c>
      <c r="K614" s="2">
        <v>45696</v>
      </c>
      <c r="L614" t="s">
        <v>26</v>
      </c>
      <c r="M614" t="s">
        <v>57</v>
      </c>
      <c r="O614" t="s">
        <v>69</v>
      </c>
      <c r="Q614">
        <f t="shared" si="36"/>
        <v>1</v>
      </c>
      <c r="R614" s="3">
        <f t="shared" si="37"/>
        <v>4</v>
      </c>
      <c r="S614">
        <f t="shared" si="38"/>
        <v>0</v>
      </c>
      <c r="T614">
        <f t="shared" si="39"/>
        <v>0</v>
      </c>
    </row>
    <row r="615" spans="1:20" x14ac:dyDescent="0.25">
      <c r="A615" t="s">
        <v>681</v>
      </c>
      <c r="B615">
        <v>614</v>
      </c>
      <c r="C615" t="s">
        <v>21</v>
      </c>
      <c r="D615" t="s">
        <v>39</v>
      </c>
      <c r="E615" t="s">
        <v>60</v>
      </c>
      <c r="F615" s="2">
        <v>45881</v>
      </c>
      <c r="G615" s="2">
        <v>45881</v>
      </c>
      <c r="H615" t="s">
        <v>61</v>
      </c>
      <c r="I615" t="s">
        <v>54</v>
      </c>
      <c r="J615" s="2">
        <v>45884</v>
      </c>
      <c r="K615" s="2">
        <v>45884</v>
      </c>
      <c r="L615" t="s">
        <v>26</v>
      </c>
      <c r="M615" t="s">
        <v>57</v>
      </c>
      <c r="O615" t="s">
        <v>81</v>
      </c>
      <c r="Q615">
        <f t="shared" si="36"/>
        <v>1</v>
      </c>
      <c r="R615" s="3">
        <f t="shared" si="37"/>
        <v>3</v>
      </c>
      <c r="S615">
        <f t="shared" si="38"/>
        <v>0</v>
      </c>
      <c r="T615">
        <f t="shared" si="39"/>
        <v>0</v>
      </c>
    </row>
    <row r="616" spans="1:20" x14ac:dyDescent="0.25">
      <c r="A616" t="s">
        <v>682</v>
      </c>
      <c r="B616">
        <v>615</v>
      </c>
      <c r="C616" t="s">
        <v>78</v>
      </c>
      <c r="D616" t="s">
        <v>39</v>
      </c>
      <c r="E616" t="s">
        <v>56</v>
      </c>
      <c r="F616" s="2">
        <v>45989</v>
      </c>
      <c r="G616" s="2">
        <v>45991</v>
      </c>
      <c r="H616" t="s">
        <v>24</v>
      </c>
      <c r="I616" t="s">
        <v>83</v>
      </c>
      <c r="J616" s="2">
        <v>45993</v>
      </c>
      <c r="K616" s="2">
        <v>45997</v>
      </c>
      <c r="L616" t="s">
        <v>46</v>
      </c>
      <c r="M616" t="s">
        <v>32</v>
      </c>
      <c r="N616" t="s">
        <v>33</v>
      </c>
      <c r="O616" t="s">
        <v>37</v>
      </c>
      <c r="Q616">
        <f t="shared" si="36"/>
        <v>0</v>
      </c>
      <c r="R616" s="3">
        <f t="shared" si="37"/>
        <v>4</v>
      </c>
      <c r="S616">
        <f t="shared" si="38"/>
        <v>1</v>
      </c>
      <c r="T616">
        <f t="shared" si="39"/>
        <v>1</v>
      </c>
    </row>
    <row r="617" spans="1:20" x14ac:dyDescent="0.25">
      <c r="A617" t="s">
        <v>683</v>
      </c>
      <c r="B617">
        <v>616</v>
      </c>
      <c r="C617" t="s">
        <v>21</v>
      </c>
      <c r="D617" t="s">
        <v>22</v>
      </c>
      <c r="E617" t="s">
        <v>23</v>
      </c>
      <c r="F617" s="2">
        <v>46003</v>
      </c>
      <c r="G617" s="2">
        <v>46005</v>
      </c>
      <c r="H617" t="s">
        <v>31</v>
      </c>
      <c r="I617" t="s">
        <v>62</v>
      </c>
      <c r="J617" s="2">
        <v>46007</v>
      </c>
      <c r="K617" s="2">
        <v>46007</v>
      </c>
      <c r="L617" t="s">
        <v>46</v>
      </c>
      <c r="M617" t="s">
        <v>57</v>
      </c>
      <c r="O617" t="s">
        <v>43</v>
      </c>
      <c r="Q617">
        <f t="shared" si="36"/>
        <v>1</v>
      </c>
      <c r="R617" s="3">
        <f t="shared" si="37"/>
        <v>4</v>
      </c>
      <c r="S617">
        <f t="shared" si="38"/>
        <v>0</v>
      </c>
      <c r="T617">
        <f t="shared" si="39"/>
        <v>1</v>
      </c>
    </row>
    <row r="618" spans="1:20" x14ac:dyDescent="0.25">
      <c r="A618" t="s">
        <v>684</v>
      </c>
      <c r="B618">
        <v>617</v>
      </c>
      <c r="C618" t="s">
        <v>21</v>
      </c>
      <c r="D618" t="s">
        <v>22</v>
      </c>
      <c r="E618" t="s">
        <v>40</v>
      </c>
      <c r="F618" s="2">
        <v>45662</v>
      </c>
      <c r="G618" s="2">
        <v>45662</v>
      </c>
      <c r="H618" t="s">
        <v>24</v>
      </c>
      <c r="I618" t="s">
        <v>54</v>
      </c>
      <c r="J618" s="2">
        <v>45665</v>
      </c>
      <c r="K618" s="2">
        <v>45665</v>
      </c>
      <c r="L618" t="s">
        <v>26</v>
      </c>
      <c r="M618" t="s">
        <v>27</v>
      </c>
      <c r="O618" t="s">
        <v>81</v>
      </c>
      <c r="Q618">
        <f t="shared" si="36"/>
        <v>1</v>
      </c>
      <c r="R618" s="3">
        <f t="shared" si="37"/>
        <v>3</v>
      </c>
      <c r="S618">
        <f t="shared" si="38"/>
        <v>0</v>
      </c>
      <c r="T618">
        <f t="shared" si="39"/>
        <v>0</v>
      </c>
    </row>
    <row r="619" spans="1:20" x14ac:dyDescent="0.25">
      <c r="A619" t="s">
        <v>685</v>
      </c>
      <c r="B619">
        <v>618</v>
      </c>
      <c r="C619" t="s">
        <v>36</v>
      </c>
      <c r="D619" t="s">
        <v>39</v>
      </c>
      <c r="E619" t="s">
        <v>23</v>
      </c>
      <c r="F619" s="2">
        <v>45970</v>
      </c>
      <c r="G619" s="2">
        <v>45971</v>
      </c>
      <c r="H619" t="s">
        <v>45</v>
      </c>
      <c r="I619" t="s">
        <v>62</v>
      </c>
      <c r="J619" s="2">
        <v>45977</v>
      </c>
      <c r="K619" s="2">
        <v>45980</v>
      </c>
      <c r="L619" t="s">
        <v>26</v>
      </c>
      <c r="M619" t="s">
        <v>32</v>
      </c>
      <c r="N619" t="s">
        <v>33</v>
      </c>
      <c r="O619" t="s">
        <v>37</v>
      </c>
      <c r="Q619">
        <f t="shared" si="36"/>
        <v>0</v>
      </c>
      <c r="R619" s="3">
        <f t="shared" si="37"/>
        <v>7</v>
      </c>
      <c r="S619">
        <f t="shared" si="38"/>
        <v>1</v>
      </c>
      <c r="T619">
        <f t="shared" si="39"/>
        <v>0</v>
      </c>
    </row>
    <row r="620" spans="1:20" x14ac:dyDescent="0.25">
      <c r="A620" t="s">
        <v>686</v>
      </c>
      <c r="B620">
        <v>619</v>
      </c>
      <c r="C620" t="s">
        <v>59</v>
      </c>
      <c r="D620" t="s">
        <v>30</v>
      </c>
      <c r="E620" t="s">
        <v>60</v>
      </c>
      <c r="F620" s="2">
        <v>45674</v>
      </c>
      <c r="G620" s="2">
        <v>45676</v>
      </c>
      <c r="H620" t="s">
        <v>45</v>
      </c>
      <c r="I620" t="s">
        <v>62</v>
      </c>
      <c r="J620" s="2">
        <v>45678</v>
      </c>
      <c r="K620" s="2">
        <v>45678</v>
      </c>
      <c r="L620" t="s">
        <v>46</v>
      </c>
      <c r="M620" t="s">
        <v>27</v>
      </c>
      <c r="O620" t="s">
        <v>81</v>
      </c>
      <c r="Q620">
        <f t="shared" si="36"/>
        <v>1</v>
      </c>
      <c r="R620" s="3">
        <f t="shared" si="37"/>
        <v>4</v>
      </c>
      <c r="S620">
        <f t="shared" si="38"/>
        <v>0</v>
      </c>
      <c r="T620">
        <f t="shared" si="39"/>
        <v>1</v>
      </c>
    </row>
    <row r="621" spans="1:20" x14ac:dyDescent="0.25">
      <c r="A621" t="s">
        <v>687</v>
      </c>
      <c r="B621">
        <v>620</v>
      </c>
      <c r="C621" t="s">
        <v>51</v>
      </c>
      <c r="D621" t="s">
        <v>64</v>
      </c>
      <c r="E621" t="s">
        <v>23</v>
      </c>
      <c r="F621" s="2">
        <v>45942</v>
      </c>
      <c r="G621" s="2">
        <v>45942</v>
      </c>
      <c r="H621" t="s">
        <v>41</v>
      </c>
      <c r="I621" t="s">
        <v>73</v>
      </c>
      <c r="J621" s="2">
        <v>45945</v>
      </c>
      <c r="K621" s="2">
        <v>45945</v>
      </c>
      <c r="L621" t="s">
        <v>26</v>
      </c>
      <c r="M621" t="s">
        <v>57</v>
      </c>
      <c r="O621" t="s">
        <v>69</v>
      </c>
      <c r="Q621">
        <f t="shared" si="36"/>
        <v>1</v>
      </c>
      <c r="R621" s="3">
        <f t="shared" si="37"/>
        <v>3</v>
      </c>
      <c r="S621">
        <f t="shared" si="38"/>
        <v>0</v>
      </c>
      <c r="T621">
        <f t="shared" si="39"/>
        <v>0</v>
      </c>
    </row>
    <row r="622" spans="1:20" x14ac:dyDescent="0.25">
      <c r="A622" t="s">
        <v>688</v>
      </c>
      <c r="B622">
        <v>621</v>
      </c>
      <c r="C622" t="s">
        <v>36</v>
      </c>
      <c r="D622" t="s">
        <v>30</v>
      </c>
      <c r="E622" t="s">
        <v>40</v>
      </c>
      <c r="F622" s="2">
        <v>45910</v>
      </c>
      <c r="G622" s="2">
        <v>45910</v>
      </c>
      <c r="H622" t="s">
        <v>61</v>
      </c>
      <c r="I622" t="s">
        <v>25</v>
      </c>
      <c r="J622" s="2">
        <v>45916</v>
      </c>
      <c r="K622" s="2">
        <v>45916</v>
      </c>
      <c r="L622" t="s">
        <v>26</v>
      </c>
      <c r="M622" t="s">
        <v>27</v>
      </c>
      <c r="O622" t="s">
        <v>28</v>
      </c>
      <c r="Q622">
        <f t="shared" si="36"/>
        <v>1</v>
      </c>
      <c r="R622" s="3">
        <f t="shared" si="37"/>
        <v>6</v>
      </c>
      <c r="S622">
        <f t="shared" si="38"/>
        <v>0</v>
      </c>
      <c r="T622">
        <f t="shared" si="39"/>
        <v>0</v>
      </c>
    </row>
    <row r="623" spans="1:20" x14ac:dyDescent="0.25">
      <c r="A623" t="s">
        <v>689</v>
      </c>
      <c r="B623">
        <v>622</v>
      </c>
      <c r="C623" t="s">
        <v>51</v>
      </c>
      <c r="D623" t="s">
        <v>39</v>
      </c>
      <c r="E623" t="s">
        <v>40</v>
      </c>
      <c r="F623" s="2">
        <v>46018</v>
      </c>
      <c r="G623" s="2">
        <v>46018</v>
      </c>
      <c r="H623" t="s">
        <v>61</v>
      </c>
      <c r="I623" t="s">
        <v>83</v>
      </c>
      <c r="J623" s="2">
        <v>46019</v>
      </c>
      <c r="K623" s="2">
        <v>46019</v>
      </c>
      <c r="L623" t="s">
        <v>46</v>
      </c>
      <c r="M623" t="s">
        <v>57</v>
      </c>
      <c r="O623" t="s">
        <v>34</v>
      </c>
      <c r="Q623">
        <f t="shared" si="36"/>
        <v>1</v>
      </c>
      <c r="R623" s="3">
        <f t="shared" si="37"/>
        <v>1</v>
      </c>
      <c r="S623">
        <f t="shared" si="38"/>
        <v>0</v>
      </c>
      <c r="T623">
        <f t="shared" si="39"/>
        <v>1</v>
      </c>
    </row>
    <row r="624" spans="1:20" x14ac:dyDescent="0.25">
      <c r="A624" t="s">
        <v>690</v>
      </c>
      <c r="B624">
        <v>623</v>
      </c>
      <c r="C624" t="s">
        <v>21</v>
      </c>
      <c r="D624" t="s">
        <v>52</v>
      </c>
      <c r="E624" t="s">
        <v>40</v>
      </c>
      <c r="F624" s="2">
        <v>45916</v>
      </c>
      <c r="G624" s="2">
        <v>45916</v>
      </c>
      <c r="H624" t="s">
        <v>41</v>
      </c>
      <c r="I624" t="s">
        <v>62</v>
      </c>
      <c r="J624" s="2">
        <v>45920</v>
      </c>
      <c r="K624" s="2">
        <v>45920</v>
      </c>
      <c r="L624" t="s">
        <v>26</v>
      </c>
      <c r="M624" t="s">
        <v>27</v>
      </c>
      <c r="O624" t="s">
        <v>28</v>
      </c>
      <c r="Q624">
        <f t="shared" si="36"/>
        <v>1</v>
      </c>
      <c r="R624" s="3">
        <f t="shared" si="37"/>
        <v>4</v>
      </c>
      <c r="S624">
        <f t="shared" si="38"/>
        <v>0</v>
      </c>
      <c r="T624">
        <f t="shared" si="39"/>
        <v>0</v>
      </c>
    </row>
    <row r="625" spans="1:20" x14ac:dyDescent="0.25">
      <c r="A625" t="s">
        <v>691</v>
      </c>
      <c r="B625">
        <v>624</v>
      </c>
      <c r="C625" t="s">
        <v>51</v>
      </c>
      <c r="D625" t="s">
        <v>39</v>
      </c>
      <c r="E625" t="s">
        <v>40</v>
      </c>
      <c r="F625" s="2">
        <v>45671</v>
      </c>
      <c r="G625" s="2">
        <v>45673</v>
      </c>
      <c r="H625" t="s">
        <v>31</v>
      </c>
      <c r="I625" t="s">
        <v>85</v>
      </c>
      <c r="J625" s="2">
        <v>45674</v>
      </c>
      <c r="K625" s="2">
        <v>45674</v>
      </c>
      <c r="L625" t="s">
        <v>26</v>
      </c>
      <c r="M625" t="s">
        <v>57</v>
      </c>
      <c r="O625" t="s">
        <v>69</v>
      </c>
      <c r="Q625">
        <f t="shared" si="36"/>
        <v>1</v>
      </c>
      <c r="R625" s="3">
        <f t="shared" si="37"/>
        <v>3</v>
      </c>
      <c r="S625">
        <f t="shared" si="38"/>
        <v>0</v>
      </c>
      <c r="T625">
        <f t="shared" si="39"/>
        <v>0</v>
      </c>
    </row>
    <row r="626" spans="1:20" x14ac:dyDescent="0.25">
      <c r="A626" t="s">
        <v>692</v>
      </c>
      <c r="B626">
        <v>625</v>
      </c>
      <c r="C626" t="s">
        <v>59</v>
      </c>
      <c r="D626" t="s">
        <v>64</v>
      </c>
      <c r="E626" t="s">
        <v>40</v>
      </c>
      <c r="F626" s="2">
        <v>45905</v>
      </c>
      <c r="G626" s="2">
        <v>45906</v>
      </c>
      <c r="H626" t="s">
        <v>41</v>
      </c>
      <c r="I626" t="s">
        <v>54</v>
      </c>
      <c r="J626" s="2">
        <v>45907</v>
      </c>
      <c r="K626" s="2">
        <v>45908</v>
      </c>
      <c r="L626" t="s">
        <v>26</v>
      </c>
      <c r="M626" t="s">
        <v>27</v>
      </c>
      <c r="O626" t="s">
        <v>43</v>
      </c>
      <c r="Q626">
        <f t="shared" si="36"/>
        <v>0</v>
      </c>
      <c r="R626" s="3">
        <f t="shared" si="37"/>
        <v>2</v>
      </c>
      <c r="S626">
        <f t="shared" si="38"/>
        <v>0</v>
      </c>
      <c r="T626">
        <f t="shared" si="39"/>
        <v>0</v>
      </c>
    </row>
    <row r="627" spans="1:20" x14ac:dyDescent="0.25">
      <c r="A627" t="s">
        <v>693</v>
      </c>
      <c r="B627">
        <v>626</v>
      </c>
      <c r="C627" t="s">
        <v>51</v>
      </c>
      <c r="D627" t="s">
        <v>52</v>
      </c>
      <c r="E627" t="s">
        <v>60</v>
      </c>
      <c r="F627" s="2">
        <v>45751</v>
      </c>
      <c r="G627" s="2">
        <v>45753</v>
      </c>
      <c r="H627" t="s">
        <v>45</v>
      </c>
      <c r="I627" t="s">
        <v>62</v>
      </c>
      <c r="J627" s="2">
        <v>45755</v>
      </c>
      <c r="K627" s="2">
        <v>45755</v>
      </c>
      <c r="L627" t="s">
        <v>26</v>
      </c>
      <c r="M627" t="s">
        <v>57</v>
      </c>
      <c r="O627" t="s">
        <v>43</v>
      </c>
      <c r="Q627">
        <f t="shared" si="36"/>
        <v>1</v>
      </c>
      <c r="R627" s="3">
        <f t="shared" si="37"/>
        <v>4</v>
      </c>
      <c r="S627">
        <f t="shared" si="38"/>
        <v>0</v>
      </c>
      <c r="T627">
        <f t="shared" si="39"/>
        <v>0</v>
      </c>
    </row>
    <row r="628" spans="1:20" x14ac:dyDescent="0.25">
      <c r="A628" t="s">
        <v>694</v>
      </c>
      <c r="B628">
        <v>627</v>
      </c>
      <c r="C628" t="s">
        <v>36</v>
      </c>
      <c r="D628" t="s">
        <v>39</v>
      </c>
      <c r="E628" t="s">
        <v>56</v>
      </c>
      <c r="F628" s="2">
        <v>45985</v>
      </c>
      <c r="G628" s="2">
        <v>45987</v>
      </c>
      <c r="H628" t="s">
        <v>61</v>
      </c>
      <c r="I628" t="s">
        <v>73</v>
      </c>
      <c r="J628" s="2">
        <v>45991</v>
      </c>
      <c r="K628" s="2">
        <v>45995</v>
      </c>
      <c r="L628" t="s">
        <v>26</v>
      </c>
      <c r="M628" t="s">
        <v>32</v>
      </c>
      <c r="N628" t="s">
        <v>33</v>
      </c>
      <c r="O628" t="s">
        <v>37</v>
      </c>
      <c r="Q628">
        <f t="shared" si="36"/>
        <v>0</v>
      </c>
      <c r="R628" s="3">
        <f t="shared" si="37"/>
        <v>6</v>
      </c>
      <c r="S628">
        <f t="shared" si="38"/>
        <v>1</v>
      </c>
      <c r="T628">
        <f t="shared" si="39"/>
        <v>0</v>
      </c>
    </row>
    <row r="629" spans="1:20" x14ac:dyDescent="0.25">
      <c r="A629" t="s">
        <v>695</v>
      </c>
      <c r="B629">
        <v>628</v>
      </c>
      <c r="C629" t="s">
        <v>78</v>
      </c>
      <c r="D629" t="s">
        <v>30</v>
      </c>
      <c r="E629" t="s">
        <v>60</v>
      </c>
      <c r="F629" s="2">
        <v>45661</v>
      </c>
      <c r="G629" s="2">
        <v>45663</v>
      </c>
      <c r="H629" t="s">
        <v>41</v>
      </c>
      <c r="I629" t="s">
        <v>62</v>
      </c>
      <c r="J629" s="2">
        <v>45665</v>
      </c>
      <c r="K629" s="2">
        <v>45668</v>
      </c>
      <c r="L629" t="s">
        <v>26</v>
      </c>
      <c r="M629" t="s">
        <v>32</v>
      </c>
      <c r="N629" t="s">
        <v>47</v>
      </c>
      <c r="O629" t="s">
        <v>34</v>
      </c>
      <c r="Q629">
        <f t="shared" si="36"/>
        <v>0</v>
      </c>
      <c r="R629" s="3">
        <f t="shared" si="37"/>
        <v>4</v>
      </c>
      <c r="S629">
        <f t="shared" si="38"/>
        <v>1</v>
      </c>
      <c r="T629">
        <f t="shared" si="39"/>
        <v>0</v>
      </c>
    </row>
    <row r="630" spans="1:20" x14ac:dyDescent="0.25">
      <c r="A630" t="s">
        <v>696</v>
      </c>
      <c r="B630">
        <v>629</v>
      </c>
      <c r="C630" t="s">
        <v>51</v>
      </c>
      <c r="D630" t="s">
        <v>52</v>
      </c>
      <c r="E630" t="s">
        <v>56</v>
      </c>
      <c r="F630" s="2">
        <v>45805</v>
      </c>
      <c r="G630" s="2">
        <v>45806</v>
      </c>
      <c r="H630" t="s">
        <v>41</v>
      </c>
      <c r="I630" t="s">
        <v>73</v>
      </c>
      <c r="J630" s="2">
        <v>45810</v>
      </c>
      <c r="K630" s="2">
        <v>45810</v>
      </c>
      <c r="L630" t="s">
        <v>26</v>
      </c>
      <c r="M630" t="s">
        <v>57</v>
      </c>
      <c r="O630" t="s">
        <v>34</v>
      </c>
      <c r="Q630">
        <f t="shared" si="36"/>
        <v>1</v>
      </c>
      <c r="R630" s="3">
        <f t="shared" si="37"/>
        <v>5</v>
      </c>
      <c r="S630">
        <f t="shared" si="38"/>
        <v>0</v>
      </c>
      <c r="T630">
        <f t="shared" si="39"/>
        <v>0</v>
      </c>
    </row>
    <row r="631" spans="1:20" x14ac:dyDescent="0.25">
      <c r="A631" t="s">
        <v>697</v>
      </c>
      <c r="B631">
        <v>630</v>
      </c>
      <c r="C631" t="s">
        <v>59</v>
      </c>
      <c r="D631" t="s">
        <v>22</v>
      </c>
      <c r="E631" t="s">
        <v>23</v>
      </c>
      <c r="F631" s="2">
        <v>45956</v>
      </c>
      <c r="G631" s="2">
        <v>45958</v>
      </c>
      <c r="H631" t="s">
        <v>61</v>
      </c>
      <c r="I631" t="s">
        <v>42</v>
      </c>
      <c r="J631" s="2">
        <v>45960</v>
      </c>
      <c r="K631" s="2">
        <v>45960</v>
      </c>
      <c r="L631" t="s">
        <v>26</v>
      </c>
      <c r="M631" t="s">
        <v>27</v>
      </c>
      <c r="O631" t="s">
        <v>81</v>
      </c>
      <c r="Q631">
        <f t="shared" si="36"/>
        <v>1</v>
      </c>
      <c r="R631" s="3">
        <f t="shared" si="37"/>
        <v>4</v>
      </c>
      <c r="S631">
        <f t="shared" si="38"/>
        <v>0</v>
      </c>
      <c r="T631">
        <f t="shared" si="39"/>
        <v>0</v>
      </c>
    </row>
    <row r="632" spans="1:20" x14ac:dyDescent="0.25">
      <c r="A632" t="s">
        <v>698</v>
      </c>
      <c r="B632">
        <v>631</v>
      </c>
      <c r="C632" t="s">
        <v>21</v>
      </c>
      <c r="D632" t="s">
        <v>64</v>
      </c>
      <c r="E632" t="s">
        <v>40</v>
      </c>
      <c r="F632" s="2">
        <v>45733</v>
      </c>
      <c r="G632" s="2">
        <v>45734</v>
      </c>
      <c r="H632" t="s">
        <v>61</v>
      </c>
      <c r="I632" t="s">
        <v>85</v>
      </c>
      <c r="J632" s="2">
        <v>45737</v>
      </c>
      <c r="K632" s="2">
        <v>45738</v>
      </c>
      <c r="L632" t="s">
        <v>26</v>
      </c>
      <c r="M632" t="s">
        <v>32</v>
      </c>
      <c r="N632" t="s">
        <v>33</v>
      </c>
      <c r="O632" t="s">
        <v>69</v>
      </c>
      <c r="Q632">
        <f t="shared" si="36"/>
        <v>0</v>
      </c>
      <c r="R632" s="3">
        <f t="shared" si="37"/>
        <v>4</v>
      </c>
      <c r="S632">
        <f t="shared" si="38"/>
        <v>1</v>
      </c>
      <c r="T632">
        <f t="shared" si="39"/>
        <v>0</v>
      </c>
    </row>
    <row r="633" spans="1:20" x14ac:dyDescent="0.25">
      <c r="A633" t="s">
        <v>699</v>
      </c>
      <c r="B633">
        <v>632</v>
      </c>
      <c r="C633" t="s">
        <v>21</v>
      </c>
      <c r="D633" t="s">
        <v>52</v>
      </c>
      <c r="E633" t="s">
        <v>60</v>
      </c>
      <c r="F633" s="2">
        <v>45918</v>
      </c>
      <c r="G633" s="2">
        <v>45920</v>
      </c>
      <c r="H633" t="s">
        <v>41</v>
      </c>
      <c r="I633" t="s">
        <v>62</v>
      </c>
      <c r="J633" s="2">
        <v>45925</v>
      </c>
      <c r="K633" s="2">
        <v>45926</v>
      </c>
      <c r="L633" t="s">
        <v>26</v>
      </c>
      <c r="M633" t="s">
        <v>27</v>
      </c>
      <c r="O633" t="s">
        <v>28</v>
      </c>
      <c r="Q633">
        <f t="shared" si="36"/>
        <v>0</v>
      </c>
      <c r="R633" s="3">
        <f t="shared" si="37"/>
        <v>7</v>
      </c>
      <c r="S633">
        <f t="shared" si="38"/>
        <v>0</v>
      </c>
      <c r="T633">
        <f t="shared" si="39"/>
        <v>0</v>
      </c>
    </row>
    <row r="634" spans="1:20" x14ac:dyDescent="0.25">
      <c r="A634" t="s">
        <v>700</v>
      </c>
      <c r="B634">
        <v>633</v>
      </c>
      <c r="C634" t="s">
        <v>78</v>
      </c>
      <c r="D634" t="s">
        <v>30</v>
      </c>
      <c r="E634" t="s">
        <v>23</v>
      </c>
      <c r="F634" s="2">
        <v>45945</v>
      </c>
      <c r="G634" s="2">
        <v>45947</v>
      </c>
      <c r="H634" t="s">
        <v>31</v>
      </c>
      <c r="I634" t="s">
        <v>85</v>
      </c>
      <c r="J634" s="2">
        <v>45953</v>
      </c>
      <c r="K634" s="2">
        <v>45953</v>
      </c>
      <c r="L634" t="s">
        <v>26</v>
      </c>
      <c r="M634" t="s">
        <v>27</v>
      </c>
      <c r="O634" t="s">
        <v>34</v>
      </c>
      <c r="Q634">
        <f t="shared" si="36"/>
        <v>1</v>
      </c>
      <c r="R634" s="3">
        <f t="shared" si="37"/>
        <v>8</v>
      </c>
      <c r="S634">
        <f t="shared" si="38"/>
        <v>0</v>
      </c>
      <c r="T634">
        <f t="shared" si="39"/>
        <v>0</v>
      </c>
    </row>
    <row r="635" spans="1:20" x14ac:dyDescent="0.25">
      <c r="A635" t="s">
        <v>701</v>
      </c>
      <c r="B635">
        <v>634</v>
      </c>
      <c r="C635" t="s">
        <v>36</v>
      </c>
      <c r="D635" t="s">
        <v>30</v>
      </c>
      <c r="E635" t="s">
        <v>60</v>
      </c>
      <c r="F635" s="2">
        <v>45957</v>
      </c>
      <c r="G635" s="2">
        <v>45957</v>
      </c>
      <c r="H635" t="s">
        <v>61</v>
      </c>
      <c r="I635" t="s">
        <v>83</v>
      </c>
      <c r="J635" s="2">
        <v>45960</v>
      </c>
      <c r="K635" s="2">
        <v>45960</v>
      </c>
      <c r="L635" t="s">
        <v>26</v>
      </c>
      <c r="M635" t="s">
        <v>27</v>
      </c>
      <c r="O635" t="s">
        <v>28</v>
      </c>
      <c r="Q635">
        <f t="shared" si="36"/>
        <v>1</v>
      </c>
      <c r="R635" s="3">
        <f t="shared" si="37"/>
        <v>3</v>
      </c>
      <c r="S635">
        <f t="shared" si="38"/>
        <v>0</v>
      </c>
      <c r="T635">
        <f t="shared" si="39"/>
        <v>0</v>
      </c>
    </row>
    <row r="636" spans="1:20" x14ac:dyDescent="0.25">
      <c r="A636" t="s">
        <v>702</v>
      </c>
      <c r="B636">
        <v>635</v>
      </c>
      <c r="C636" t="s">
        <v>59</v>
      </c>
      <c r="D636" t="s">
        <v>64</v>
      </c>
      <c r="E636" t="s">
        <v>60</v>
      </c>
      <c r="F636" s="2">
        <v>45965</v>
      </c>
      <c r="G636" s="2">
        <v>45965</v>
      </c>
      <c r="H636" t="s">
        <v>24</v>
      </c>
      <c r="I636" t="s">
        <v>54</v>
      </c>
      <c r="J636" s="2">
        <v>45966</v>
      </c>
      <c r="K636" s="2">
        <v>45967</v>
      </c>
      <c r="L636" t="s">
        <v>26</v>
      </c>
      <c r="M636" t="s">
        <v>32</v>
      </c>
      <c r="N636" t="s">
        <v>47</v>
      </c>
      <c r="O636" t="s">
        <v>37</v>
      </c>
      <c r="Q636">
        <f t="shared" si="36"/>
        <v>0</v>
      </c>
      <c r="R636" s="3">
        <f t="shared" si="37"/>
        <v>1</v>
      </c>
      <c r="S636">
        <f t="shared" si="38"/>
        <v>1</v>
      </c>
      <c r="T636">
        <f t="shared" si="39"/>
        <v>0</v>
      </c>
    </row>
    <row r="637" spans="1:20" x14ac:dyDescent="0.25">
      <c r="A637" t="s">
        <v>703</v>
      </c>
      <c r="B637">
        <v>636</v>
      </c>
      <c r="C637" t="s">
        <v>21</v>
      </c>
      <c r="D637" t="s">
        <v>64</v>
      </c>
      <c r="E637" t="s">
        <v>53</v>
      </c>
      <c r="F637" s="2">
        <v>45816</v>
      </c>
      <c r="G637" s="2">
        <v>45818</v>
      </c>
      <c r="H637" t="s">
        <v>45</v>
      </c>
      <c r="I637" t="s">
        <v>62</v>
      </c>
      <c r="J637" s="2">
        <v>45821</v>
      </c>
      <c r="K637" s="2">
        <v>45821</v>
      </c>
      <c r="L637" t="s">
        <v>26</v>
      </c>
      <c r="M637" t="s">
        <v>27</v>
      </c>
      <c r="O637" t="s">
        <v>37</v>
      </c>
      <c r="Q637">
        <f t="shared" si="36"/>
        <v>1</v>
      </c>
      <c r="R637" s="3">
        <f t="shared" si="37"/>
        <v>5</v>
      </c>
      <c r="S637">
        <f t="shared" si="38"/>
        <v>0</v>
      </c>
      <c r="T637">
        <f t="shared" si="39"/>
        <v>0</v>
      </c>
    </row>
    <row r="638" spans="1:20" x14ac:dyDescent="0.25">
      <c r="A638" t="s">
        <v>704</v>
      </c>
      <c r="B638">
        <v>637</v>
      </c>
      <c r="C638" t="s">
        <v>59</v>
      </c>
      <c r="D638" t="s">
        <v>30</v>
      </c>
      <c r="E638" t="s">
        <v>60</v>
      </c>
      <c r="F638" s="2">
        <v>45743</v>
      </c>
      <c r="G638" s="2">
        <v>45744</v>
      </c>
      <c r="H638" t="s">
        <v>41</v>
      </c>
      <c r="I638" t="s">
        <v>25</v>
      </c>
      <c r="J638" s="2">
        <v>45747</v>
      </c>
      <c r="K638" s="2">
        <v>45747</v>
      </c>
      <c r="L638" t="s">
        <v>26</v>
      </c>
      <c r="M638" t="s">
        <v>57</v>
      </c>
      <c r="O638" t="s">
        <v>37</v>
      </c>
      <c r="P638" t="s">
        <v>76</v>
      </c>
      <c r="Q638">
        <f t="shared" si="36"/>
        <v>1</v>
      </c>
      <c r="R638" s="3">
        <f t="shared" si="37"/>
        <v>4</v>
      </c>
      <c r="S638">
        <f t="shared" si="38"/>
        <v>0</v>
      </c>
      <c r="T638">
        <f t="shared" si="39"/>
        <v>0</v>
      </c>
    </row>
    <row r="639" spans="1:20" x14ac:dyDescent="0.25">
      <c r="A639" t="s">
        <v>705</v>
      </c>
      <c r="B639">
        <v>638</v>
      </c>
      <c r="C639" t="s">
        <v>21</v>
      </c>
      <c r="D639" t="s">
        <v>52</v>
      </c>
      <c r="E639" t="s">
        <v>23</v>
      </c>
      <c r="F639" s="2">
        <v>45752</v>
      </c>
      <c r="G639" s="2">
        <v>45754</v>
      </c>
      <c r="H639" t="s">
        <v>41</v>
      </c>
      <c r="I639" t="s">
        <v>25</v>
      </c>
      <c r="J639" s="2">
        <v>45756</v>
      </c>
      <c r="K639" s="2">
        <v>45756</v>
      </c>
      <c r="L639" t="s">
        <v>26</v>
      </c>
      <c r="M639" t="s">
        <v>27</v>
      </c>
      <c r="O639" t="s">
        <v>34</v>
      </c>
      <c r="P639" t="s">
        <v>88</v>
      </c>
      <c r="Q639">
        <f t="shared" si="36"/>
        <v>1</v>
      </c>
      <c r="R639" s="3">
        <f t="shared" si="37"/>
        <v>4</v>
      </c>
      <c r="S639">
        <f t="shared" si="38"/>
        <v>0</v>
      </c>
      <c r="T639">
        <f t="shared" si="39"/>
        <v>0</v>
      </c>
    </row>
    <row r="640" spans="1:20" x14ac:dyDescent="0.25">
      <c r="A640" t="s">
        <v>706</v>
      </c>
      <c r="B640">
        <v>639</v>
      </c>
      <c r="C640" t="s">
        <v>78</v>
      </c>
      <c r="D640" t="s">
        <v>30</v>
      </c>
      <c r="E640" t="s">
        <v>23</v>
      </c>
      <c r="F640" s="2">
        <v>45824</v>
      </c>
      <c r="G640" s="2">
        <v>45824</v>
      </c>
      <c r="H640" t="s">
        <v>24</v>
      </c>
      <c r="I640" t="s">
        <v>42</v>
      </c>
      <c r="J640" s="2">
        <v>45828</v>
      </c>
      <c r="K640" s="2">
        <v>45828</v>
      </c>
      <c r="L640" t="s">
        <v>46</v>
      </c>
      <c r="M640" t="s">
        <v>27</v>
      </c>
      <c r="O640" t="s">
        <v>69</v>
      </c>
      <c r="Q640">
        <f t="shared" si="36"/>
        <v>1</v>
      </c>
      <c r="R640" s="3">
        <f t="shared" si="37"/>
        <v>4</v>
      </c>
      <c r="S640">
        <f t="shared" si="38"/>
        <v>0</v>
      </c>
      <c r="T640">
        <f t="shared" si="39"/>
        <v>1</v>
      </c>
    </row>
    <row r="641" spans="1:20" x14ac:dyDescent="0.25">
      <c r="A641" t="s">
        <v>707</v>
      </c>
      <c r="B641">
        <v>640</v>
      </c>
      <c r="C641" t="s">
        <v>59</v>
      </c>
      <c r="D641" t="s">
        <v>22</v>
      </c>
      <c r="E641" t="s">
        <v>56</v>
      </c>
      <c r="F641" s="2">
        <v>45682</v>
      </c>
      <c r="G641" s="2">
        <v>45683</v>
      </c>
      <c r="H641" t="s">
        <v>61</v>
      </c>
      <c r="I641" t="s">
        <v>42</v>
      </c>
      <c r="J641" s="2">
        <v>45687</v>
      </c>
      <c r="K641" s="2">
        <v>45687</v>
      </c>
      <c r="L641" t="s">
        <v>26</v>
      </c>
      <c r="M641" t="s">
        <v>57</v>
      </c>
      <c r="O641" t="s">
        <v>43</v>
      </c>
      <c r="P641" t="s">
        <v>71</v>
      </c>
      <c r="Q641">
        <f t="shared" si="36"/>
        <v>1</v>
      </c>
      <c r="R641" s="3">
        <f t="shared" si="37"/>
        <v>5</v>
      </c>
      <c r="S641">
        <f t="shared" si="38"/>
        <v>0</v>
      </c>
      <c r="T641">
        <f t="shared" si="39"/>
        <v>0</v>
      </c>
    </row>
    <row r="642" spans="1:20" x14ac:dyDescent="0.25">
      <c r="A642" t="s">
        <v>708</v>
      </c>
      <c r="B642">
        <v>641</v>
      </c>
      <c r="C642" t="s">
        <v>78</v>
      </c>
      <c r="D642" t="s">
        <v>30</v>
      </c>
      <c r="E642" t="s">
        <v>40</v>
      </c>
      <c r="F642" s="2">
        <v>45932</v>
      </c>
      <c r="G642" s="2">
        <v>45934</v>
      </c>
      <c r="H642" t="s">
        <v>61</v>
      </c>
      <c r="I642" t="s">
        <v>73</v>
      </c>
      <c r="J642" s="2">
        <v>45939</v>
      </c>
      <c r="K642" s="2">
        <v>45939</v>
      </c>
      <c r="L642" t="s">
        <v>26</v>
      </c>
      <c r="M642" t="s">
        <v>57</v>
      </c>
      <c r="O642" t="s">
        <v>69</v>
      </c>
      <c r="Q642">
        <f t="shared" si="36"/>
        <v>1</v>
      </c>
      <c r="R642" s="3">
        <f t="shared" si="37"/>
        <v>7</v>
      </c>
      <c r="S642">
        <f t="shared" si="38"/>
        <v>0</v>
      </c>
      <c r="T642">
        <f t="shared" si="39"/>
        <v>0</v>
      </c>
    </row>
    <row r="643" spans="1:20" x14ac:dyDescent="0.25">
      <c r="A643" t="s">
        <v>709</v>
      </c>
      <c r="B643">
        <v>642</v>
      </c>
      <c r="C643" t="s">
        <v>51</v>
      </c>
      <c r="D643" t="s">
        <v>30</v>
      </c>
      <c r="E643" t="s">
        <v>40</v>
      </c>
      <c r="F643" s="2">
        <v>45666</v>
      </c>
      <c r="G643" s="2">
        <v>45667</v>
      </c>
      <c r="H643" t="s">
        <v>31</v>
      </c>
      <c r="I643" t="s">
        <v>62</v>
      </c>
      <c r="J643" s="2">
        <v>45671</v>
      </c>
      <c r="K643" s="2">
        <v>45671</v>
      </c>
      <c r="L643" t="s">
        <v>26</v>
      </c>
      <c r="M643" t="s">
        <v>57</v>
      </c>
      <c r="O643" t="s">
        <v>37</v>
      </c>
      <c r="Q643">
        <f t="shared" ref="Q643:Q706" si="40">IF(K643&lt;=J643,1,0)</f>
        <v>1</v>
      </c>
      <c r="R643" s="3">
        <f t="shared" ref="R643:R706" si="41">(J643-F643)</f>
        <v>5</v>
      </c>
      <c r="S643">
        <f t="shared" ref="S643:S706" si="42">IF(M643="Delayed",1,0)</f>
        <v>0</v>
      </c>
      <c r="T643">
        <f t="shared" ref="T643:T706" si="43">IF(L643="n",1,0)</f>
        <v>0</v>
      </c>
    </row>
    <row r="644" spans="1:20" x14ac:dyDescent="0.25">
      <c r="A644" t="s">
        <v>710</v>
      </c>
      <c r="B644">
        <v>643</v>
      </c>
      <c r="C644" t="s">
        <v>59</v>
      </c>
      <c r="D644" t="s">
        <v>52</v>
      </c>
      <c r="E644" t="s">
        <v>53</v>
      </c>
      <c r="F644" s="2">
        <v>45659</v>
      </c>
      <c r="G644" s="2">
        <v>45659</v>
      </c>
      <c r="H644" t="s">
        <v>31</v>
      </c>
      <c r="I644" t="s">
        <v>85</v>
      </c>
      <c r="J644" s="2">
        <v>45663</v>
      </c>
      <c r="K644" s="2">
        <v>45663</v>
      </c>
      <c r="L644" t="s">
        <v>26</v>
      </c>
      <c r="M644" t="s">
        <v>57</v>
      </c>
      <c r="O644" t="s">
        <v>34</v>
      </c>
      <c r="Q644">
        <f t="shared" si="40"/>
        <v>1</v>
      </c>
      <c r="R644" s="3">
        <f t="shared" si="41"/>
        <v>4</v>
      </c>
      <c r="S644">
        <f t="shared" si="42"/>
        <v>0</v>
      </c>
      <c r="T644">
        <f t="shared" si="43"/>
        <v>0</v>
      </c>
    </row>
    <row r="645" spans="1:20" x14ac:dyDescent="0.25">
      <c r="A645" t="s">
        <v>711</v>
      </c>
      <c r="B645">
        <v>644</v>
      </c>
      <c r="C645" t="s">
        <v>51</v>
      </c>
      <c r="D645" t="s">
        <v>30</v>
      </c>
      <c r="E645" t="s">
        <v>23</v>
      </c>
      <c r="F645" s="2">
        <v>46013</v>
      </c>
      <c r="G645" s="2">
        <v>46015</v>
      </c>
      <c r="H645" t="s">
        <v>24</v>
      </c>
      <c r="I645" t="s">
        <v>54</v>
      </c>
      <c r="J645" s="2">
        <v>46016</v>
      </c>
      <c r="K645" s="2">
        <v>46018</v>
      </c>
      <c r="L645" t="s">
        <v>26</v>
      </c>
      <c r="M645" t="s">
        <v>32</v>
      </c>
      <c r="N645" t="s">
        <v>47</v>
      </c>
      <c r="O645" t="s">
        <v>28</v>
      </c>
      <c r="Q645">
        <f t="shared" si="40"/>
        <v>0</v>
      </c>
      <c r="R645" s="3">
        <f t="shared" si="41"/>
        <v>3</v>
      </c>
      <c r="S645">
        <f t="shared" si="42"/>
        <v>1</v>
      </c>
      <c r="T645">
        <f t="shared" si="43"/>
        <v>0</v>
      </c>
    </row>
    <row r="646" spans="1:20" x14ac:dyDescent="0.25">
      <c r="A646" t="s">
        <v>712</v>
      </c>
      <c r="B646">
        <v>645</v>
      </c>
      <c r="C646" t="s">
        <v>36</v>
      </c>
      <c r="D646" t="s">
        <v>22</v>
      </c>
      <c r="E646" t="s">
        <v>60</v>
      </c>
      <c r="F646" s="2">
        <v>45988</v>
      </c>
      <c r="G646" s="2">
        <v>45990</v>
      </c>
      <c r="H646" t="s">
        <v>24</v>
      </c>
      <c r="I646" t="s">
        <v>62</v>
      </c>
      <c r="J646" s="2">
        <v>45995</v>
      </c>
      <c r="K646" s="2">
        <v>45995</v>
      </c>
      <c r="L646" t="s">
        <v>26</v>
      </c>
      <c r="M646" t="s">
        <v>57</v>
      </c>
      <c r="O646" t="s">
        <v>81</v>
      </c>
      <c r="Q646">
        <f t="shared" si="40"/>
        <v>1</v>
      </c>
      <c r="R646" s="3">
        <f t="shared" si="41"/>
        <v>7</v>
      </c>
      <c r="S646">
        <f t="shared" si="42"/>
        <v>0</v>
      </c>
      <c r="T646">
        <f t="shared" si="43"/>
        <v>0</v>
      </c>
    </row>
    <row r="647" spans="1:20" x14ac:dyDescent="0.25">
      <c r="A647" t="s">
        <v>713</v>
      </c>
      <c r="B647">
        <v>646</v>
      </c>
      <c r="C647" t="s">
        <v>21</v>
      </c>
      <c r="D647" t="s">
        <v>39</v>
      </c>
      <c r="E647" t="s">
        <v>60</v>
      </c>
      <c r="F647" s="2">
        <v>45763</v>
      </c>
      <c r="G647" s="2">
        <v>45763</v>
      </c>
      <c r="H647" t="s">
        <v>24</v>
      </c>
      <c r="I647" t="s">
        <v>73</v>
      </c>
      <c r="J647" s="2">
        <v>45764</v>
      </c>
      <c r="K647" s="2">
        <v>45764</v>
      </c>
      <c r="L647" t="s">
        <v>26</v>
      </c>
      <c r="M647" t="s">
        <v>57</v>
      </c>
      <c r="O647" t="s">
        <v>81</v>
      </c>
      <c r="Q647">
        <f t="shared" si="40"/>
        <v>1</v>
      </c>
      <c r="R647" s="3">
        <f t="shared" si="41"/>
        <v>1</v>
      </c>
      <c r="S647">
        <f t="shared" si="42"/>
        <v>0</v>
      </c>
      <c r="T647">
        <f t="shared" si="43"/>
        <v>0</v>
      </c>
    </row>
    <row r="648" spans="1:20" x14ac:dyDescent="0.25">
      <c r="A648" t="s">
        <v>714</v>
      </c>
      <c r="B648">
        <v>647</v>
      </c>
      <c r="C648" t="s">
        <v>21</v>
      </c>
      <c r="D648" t="s">
        <v>30</v>
      </c>
      <c r="E648" t="s">
        <v>56</v>
      </c>
      <c r="F648" s="2">
        <v>45795</v>
      </c>
      <c r="G648" s="2">
        <v>45796</v>
      </c>
      <c r="H648" t="s">
        <v>24</v>
      </c>
      <c r="I648" t="s">
        <v>73</v>
      </c>
      <c r="J648" s="2">
        <v>45799</v>
      </c>
      <c r="K648" s="2">
        <v>45799</v>
      </c>
      <c r="L648" t="s">
        <v>26</v>
      </c>
      <c r="M648" t="s">
        <v>27</v>
      </c>
      <c r="O648" t="s">
        <v>37</v>
      </c>
      <c r="Q648">
        <f t="shared" si="40"/>
        <v>1</v>
      </c>
      <c r="R648" s="3">
        <f t="shared" si="41"/>
        <v>4</v>
      </c>
      <c r="S648">
        <f t="shared" si="42"/>
        <v>0</v>
      </c>
      <c r="T648">
        <f t="shared" si="43"/>
        <v>0</v>
      </c>
    </row>
    <row r="649" spans="1:20" x14ac:dyDescent="0.25">
      <c r="A649" t="s">
        <v>715</v>
      </c>
      <c r="B649">
        <v>648</v>
      </c>
      <c r="C649" t="s">
        <v>36</v>
      </c>
      <c r="D649" t="s">
        <v>30</v>
      </c>
      <c r="E649" t="s">
        <v>40</v>
      </c>
      <c r="F649" s="2">
        <v>45973</v>
      </c>
      <c r="G649" s="2">
        <v>45975</v>
      </c>
      <c r="H649" t="s">
        <v>31</v>
      </c>
      <c r="I649" t="s">
        <v>54</v>
      </c>
      <c r="J649" s="2">
        <v>45980</v>
      </c>
      <c r="K649" s="2">
        <v>45980</v>
      </c>
      <c r="L649" t="s">
        <v>26</v>
      </c>
      <c r="M649" t="s">
        <v>57</v>
      </c>
      <c r="O649" t="s">
        <v>43</v>
      </c>
      <c r="Q649">
        <f t="shared" si="40"/>
        <v>1</v>
      </c>
      <c r="R649" s="3">
        <f t="shared" si="41"/>
        <v>7</v>
      </c>
      <c r="S649">
        <f t="shared" si="42"/>
        <v>0</v>
      </c>
      <c r="T649">
        <f t="shared" si="43"/>
        <v>0</v>
      </c>
    </row>
    <row r="650" spans="1:20" x14ac:dyDescent="0.25">
      <c r="A650" t="s">
        <v>716</v>
      </c>
      <c r="B650">
        <v>649</v>
      </c>
      <c r="C650" t="s">
        <v>59</v>
      </c>
      <c r="D650" t="s">
        <v>39</v>
      </c>
      <c r="E650" t="s">
        <v>23</v>
      </c>
      <c r="F650" s="2">
        <v>45904</v>
      </c>
      <c r="G650" s="2">
        <v>45906</v>
      </c>
      <c r="H650" t="s">
        <v>31</v>
      </c>
      <c r="I650" t="s">
        <v>42</v>
      </c>
      <c r="J650" s="2">
        <v>45909</v>
      </c>
      <c r="K650" s="2">
        <v>45909</v>
      </c>
      <c r="L650" t="s">
        <v>26</v>
      </c>
      <c r="M650" t="s">
        <v>27</v>
      </c>
      <c r="O650" t="s">
        <v>43</v>
      </c>
      <c r="P650" t="s">
        <v>88</v>
      </c>
      <c r="Q650">
        <f t="shared" si="40"/>
        <v>1</v>
      </c>
      <c r="R650" s="3">
        <f t="shared" si="41"/>
        <v>5</v>
      </c>
      <c r="S650">
        <f t="shared" si="42"/>
        <v>0</v>
      </c>
      <c r="T650">
        <f t="shared" si="43"/>
        <v>0</v>
      </c>
    </row>
    <row r="651" spans="1:20" x14ac:dyDescent="0.25">
      <c r="A651" t="s">
        <v>717</v>
      </c>
      <c r="B651">
        <v>650</v>
      </c>
      <c r="C651" t="s">
        <v>78</v>
      </c>
      <c r="D651" t="s">
        <v>22</v>
      </c>
      <c r="E651" t="s">
        <v>53</v>
      </c>
      <c r="F651" s="2">
        <v>45774</v>
      </c>
      <c r="G651" s="2">
        <v>45775</v>
      </c>
      <c r="H651" t="s">
        <v>45</v>
      </c>
      <c r="I651" t="s">
        <v>62</v>
      </c>
      <c r="J651" s="2">
        <v>45777</v>
      </c>
      <c r="K651" s="2">
        <v>45777</v>
      </c>
      <c r="L651" t="s">
        <v>26</v>
      </c>
      <c r="M651" t="s">
        <v>27</v>
      </c>
      <c r="O651" t="s">
        <v>28</v>
      </c>
      <c r="Q651">
        <f t="shared" si="40"/>
        <v>1</v>
      </c>
      <c r="R651" s="3">
        <f t="shared" si="41"/>
        <v>3</v>
      </c>
      <c r="S651">
        <f t="shared" si="42"/>
        <v>0</v>
      </c>
      <c r="T651">
        <f t="shared" si="43"/>
        <v>0</v>
      </c>
    </row>
    <row r="652" spans="1:20" x14ac:dyDescent="0.25">
      <c r="A652" t="s">
        <v>718</v>
      </c>
      <c r="B652">
        <v>651</v>
      </c>
      <c r="C652" t="s">
        <v>78</v>
      </c>
      <c r="D652" t="s">
        <v>52</v>
      </c>
      <c r="E652" t="s">
        <v>23</v>
      </c>
      <c r="F652" s="2">
        <v>45858</v>
      </c>
      <c r="G652" s="2">
        <v>45859</v>
      </c>
      <c r="H652" t="s">
        <v>45</v>
      </c>
      <c r="I652" t="s">
        <v>42</v>
      </c>
      <c r="J652" s="2">
        <v>45863</v>
      </c>
      <c r="K652" s="2">
        <v>45863</v>
      </c>
      <c r="L652" t="s">
        <v>26</v>
      </c>
      <c r="M652" t="s">
        <v>27</v>
      </c>
      <c r="O652" t="s">
        <v>81</v>
      </c>
      <c r="P652" t="s">
        <v>88</v>
      </c>
      <c r="Q652">
        <f t="shared" si="40"/>
        <v>1</v>
      </c>
      <c r="R652" s="3">
        <f t="shared" si="41"/>
        <v>5</v>
      </c>
      <c r="S652">
        <f t="shared" si="42"/>
        <v>0</v>
      </c>
      <c r="T652">
        <f t="shared" si="43"/>
        <v>0</v>
      </c>
    </row>
    <row r="653" spans="1:20" x14ac:dyDescent="0.25">
      <c r="A653" t="s">
        <v>719</v>
      </c>
      <c r="B653">
        <v>652</v>
      </c>
      <c r="C653" t="s">
        <v>59</v>
      </c>
      <c r="D653" t="s">
        <v>22</v>
      </c>
      <c r="E653" t="s">
        <v>40</v>
      </c>
      <c r="F653" s="2">
        <v>45983</v>
      </c>
      <c r="G653" s="2">
        <v>45984</v>
      </c>
      <c r="H653" t="s">
        <v>61</v>
      </c>
      <c r="I653" t="s">
        <v>83</v>
      </c>
      <c r="J653" s="2">
        <v>45988</v>
      </c>
      <c r="K653" s="2">
        <v>45988</v>
      </c>
      <c r="L653" t="s">
        <v>26</v>
      </c>
      <c r="M653" t="s">
        <v>27</v>
      </c>
      <c r="O653" t="s">
        <v>43</v>
      </c>
      <c r="P653" t="s">
        <v>88</v>
      </c>
      <c r="Q653">
        <f t="shared" si="40"/>
        <v>1</v>
      </c>
      <c r="R653" s="3">
        <f t="shared" si="41"/>
        <v>5</v>
      </c>
      <c r="S653">
        <f t="shared" si="42"/>
        <v>0</v>
      </c>
      <c r="T653">
        <f t="shared" si="43"/>
        <v>0</v>
      </c>
    </row>
    <row r="654" spans="1:20" x14ac:dyDescent="0.25">
      <c r="A654" t="s">
        <v>720</v>
      </c>
      <c r="B654">
        <v>653</v>
      </c>
      <c r="C654" t="s">
        <v>51</v>
      </c>
      <c r="D654" t="s">
        <v>39</v>
      </c>
      <c r="E654" t="s">
        <v>56</v>
      </c>
      <c r="F654" s="2">
        <v>45666</v>
      </c>
      <c r="G654" s="2">
        <v>45666</v>
      </c>
      <c r="H654" t="s">
        <v>31</v>
      </c>
      <c r="I654" t="s">
        <v>73</v>
      </c>
      <c r="J654" s="2">
        <v>45668</v>
      </c>
      <c r="K654" s="2">
        <v>45669</v>
      </c>
      <c r="L654" t="s">
        <v>46</v>
      </c>
      <c r="M654" t="s">
        <v>32</v>
      </c>
      <c r="N654" t="s">
        <v>75</v>
      </c>
      <c r="O654" t="s">
        <v>37</v>
      </c>
      <c r="P654" t="s">
        <v>93</v>
      </c>
      <c r="Q654">
        <f t="shared" si="40"/>
        <v>0</v>
      </c>
      <c r="R654" s="3">
        <f t="shared" si="41"/>
        <v>2</v>
      </c>
      <c r="S654">
        <f t="shared" si="42"/>
        <v>1</v>
      </c>
      <c r="T654">
        <f t="shared" si="43"/>
        <v>1</v>
      </c>
    </row>
    <row r="655" spans="1:20" x14ac:dyDescent="0.25">
      <c r="A655" t="s">
        <v>721</v>
      </c>
      <c r="B655">
        <v>654</v>
      </c>
      <c r="C655" t="s">
        <v>21</v>
      </c>
      <c r="D655" t="s">
        <v>39</v>
      </c>
      <c r="E655" t="s">
        <v>53</v>
      </c>
      <c r="F655" s="2">
        <v>45992</v>
      </c>
      <c r="G655" s="2">
        <v>45994</v>
      </c>
      <c r="H655" t="s">
        <v>41</v>
      </c>
      <c r="I655" t="s">
        <v>42</v>
      </c>
      <c r="J655" s="2">
        <v>45995</v>
      </c>
      <c r="K655" s="2">
        <v>45995</v>
      </c>
      <c r="L655" t="s">
        <v>26</v>
      </c>
      <c r="M655" t="s">
        <v>57</v>
      </c>
      <c r="O655" t="s">
        <v>43</v>
      </c>
      <c r="Q655">
        <f t="shared" si="40"/>
        <v>1</v>
      </c>
      <c r="R655" s="3">
        <f t="shared" si="41"/>
        <v>3</v>
      </c>
      <c r="S655">
        <f t="shared" si="42"/>
        <v>0</v>
      </c>
      <c r="T655">
        <f t="shared" si="43"/>
        <v>0</v>
      </c>
    </row>
    <row r="656" spans="1:20" x14ac:dyDescent="0.25">
      <c r="A656" t="s">
        <v>722</v>
      </c>
      <c r="B656">
        <v>655</v>
      </c>
      <c r="C656" t="s">
        <v>59</v>
      </c>
      <c r="D656" t="s">
        <v>30</v>
      </c>
      <c r="E656" t="s">
        <v>56</v>
      </c>
      <c r="F656" s="2">
        <v>45879</v>
      </c>
      <c r="G656" s="2">
        <v>45880</v>
      </c>
      <c r="H656" t="s">
        <v>31</v>
      </c>
      <c r="I656" t="s">
        <v>83</v>
      </c>
      <c r="J656" s="2">
        <v>45883</v>
      </c>
      <c r="K656" s="2">
        <v>45883</v>
      </c>
      <c r="L656" t="s">
        <v>26</v>
      </c>
      <c r="M656" t="s">
        <v>57</v>
      </c>
      <c r="O656" t="s">
        <v>43</v>
      </c>
      <c r="Q656">
        <f t="shared" si="40"/>
        <v>1</v>
      </c>
      <c r="R656" s="3">
        <f t="shared" si="41"/>
        <v>4</v>
      </c>
      <c r="S656">
        <f t="shared" si="42"/>
        <v>0</v>
      </c>
      <c r="T656">
        <f t="shared" si="43"/>
        <v>0</v>
      </c>
    </row>
    <row r="657" spans="1:20" x14ac:dyDescent="0.25">
      <c r="A657" t="s">
        <v>723</v>
      </c>
      <c r="B657">
        <v>656</v>
      </c>
      <c r="C657" t="s">
        <v>59</v>
      </c>
      <c r="D657" t="s">
        <v>39</v>
      </c>
      <c r="E657" t="s">
        <v>60</v>
      </c>
      <c r="F657" s="2">
        <v>45731</v>
      </c>
      <c r="G657" s="2">
        <v>45733</v>
      </c>
      <c r="H657" t="s">
        <v>24</v>
      </c>
      <c r="I657" t="s">
        <v>62</v>
      </c>
      <c r="J657" s="2">
        <v>45737</v>
      </c>
      <c r="K657" s="2">
        <v>45740</v>
      </c>
      <c r="L657" t="s">
        <v>46</v>
      </c>
      <c r="M657" t="s">
        <v>32</v>
      </c>
      <c r="N657" t="s">
        <v>49</v>
      </c>
      <c r="O657" t="s">
        <v>28</v>
      </c>
      <c r="Q657">
        <f t="shared" si="40"/>
        <v>0</v>
      </c>
      <c r="R657" s="3">
        <f t="shared" si="41"/>
        <v>6</v>
      </c>
      <c r="S657">
        <f t="shared" si="42"/>
        <v>1</v>
      </c>
      <c r="T657">
        <f t="shared" si="43"/>
        <v>1</v>
      </c>
    </row>
    <row r="658" spans="1:20" x14ac:dyDescent="0.25">
      <c r="A658" t="s">
        <v>724</v>
      </c>
      <c r="B658">
        <v>657</v>
      </c>
      <c r="C658" t="s">
        <v>51</v>
      </c>
      <c r="D658" t="s">
        <v>30</v>
      </c>
      <c r="E658" t="s">
        <v>53</v>
      </c>
      <c r="F658" s="2">
        <v>45977</v>
      </c>
      <c r="G658" s="2">
        <v>45977</v>
      </c>
      <c r="H658" t="s">
        <v>45</v>
      </c>
      <c r="I658" t="s">
        <v>42</v>
      </c>
      <c r="J658" s="2">
        <v>45980</v>
      </c>
      <c r="K658" s="2">
        <v>45982</v>
      </c>
      <c r="L658" t="s">
        <v>46</v>
      </c>
      <c r="M658" t="s">
        <v>32</v>
      </c>
      <c r="N658" t="s">
        <v>49</v>
      </c>
      <c r="O658" t="s">
        <v>43</v>
      </c>
      <c r="Q658">
        <f t="shared" si="40"/>
        <v>0</v>
      </c>
      <c r="R658" s="3">
        <f t="shared" si="41"/>
        <v>3</v>
      </c>
      <c r="S658">
        <f t="shared" si="42"/>
        <v>1</v>
      </c>
      <c r="T658">
        <f t="shared" si="43"/>
        <v>1</v>
      </c>
    </row>
    <row r="659" spans="1:20" x14ac:dyDescent="0.25">
      <c r="A659" t="s">
        <v>725</v>
      </c>
      <c r="B659">
        <v>658</v>
      </c>
      <c r="C659" t="s">
        <v>59</v>
      </c>
      <c r="D659" t="s">
        <v>52</v>
      </c>
      <c r="E659" t="s">
        <v>23</v>
      </c>
      <c r="F659" s="2">
        <v>45701</v>
      </c>
      <c r="G659" s="2">
        <v>45701</v>
      </c>
      <c r="H659" t="s">
        <v>45</v>
      </c>
      <c r="I659" t="s">
        <v>42</v>
      </c>
      <c r="J659" s="2">
        <v>45702</v>
      </c>
      <c r="K659" s="2">
        <v>45702</v>
      </c>
      <c r="L659" t="s">
        <v>26</v>
      </c>
      <c r="M659" t="s">
        <v>27</v>
      </c>
      <c r="O659" t="s">
        <v>34</v>
      </c>
      <c r="P659" t="s">
        <v>71</v>
      </c>
      <c r="Q659">
        <f t="shared" si="40"/>
        <v>1</v>
      </c>
      <c r="R659" s="3">
        <f t="shared" si="41"/>
        <v>1</v>
      </c>
      <c r="S659">
        <f t="shared" si="42"/>
        <v>0</v>
      </c>
      <c r="T659">
        <f t="shared" si="43"/>
        <v>0</v>
      </c>
    </row>
    <row r="660" spans="1:20" x14ac:dyDescent="0.25">
      <c r="A660" t="s">
        <v>726</v>
      </c>
      <c r="B660">
        <v>659</v>
      </c>
      <c r="C660" t="s">
        <v>78</v>
      </c>
      <c r="D660" t="s">
        <v>52</v>
      </c>
      <c r="E660" t="s">
        <v>23</v>
      </c>
      <c r="F660" s="2">
        <v>45832</v>
      </c>
      <c r="G660" s="2">
        <v>45834</v>
      </c>
      <c r="H660" t="s">
        <v>31</v>
      </c>
      <c r="I660" t="s">
        <v>73</v>
      </c>
      <c r="J660" s="2">
        <v>45836</v>
      </c>
      <c r="K660" s="2">
        <v>45837</v>
      </c>
      <c r="L660" t="s">
        <v>46</v>
      </c>
      <c r="M660" t="s">
        <v>27</v>
      </c>
      <c r="O660" t="s">
        <v>28</v>
      </c>
      <c r="Q660">
        <f t="shared" si="40"/>
        <v>0</v>
      </c>
      <c r="R660" s="3">
        <f t="shared" si="41"/>
        <v>4</v>
      </c>
      <c r="S660">
        <f t="shared" si="42"/>
        <v>0</v>
      </c>
      <c r="T660">
        <f t="shared" si="43"/>
        <v>1</v>
      </c>
    </row>
    <row r="661" spans="1:20" x14ac:dyDescent="0.25">
      <c r="A661" t="s">
        <v>727</v>
      </c>
      <c r="B661">
        <v>660</v>
      </c>
      <c r="C661" t="s">
        <v>59</v>
      </c>
      <c r="D661" t="s">
        <v>39</v>
      </c>
      <c r="E661" t="s">
        <v>40</v>
      </c>
      <c r="F661" s="2">
        <v>45874</v>
      </c>
      <c r="G661" s="2">
        <v>45874</v>
      </c>
      <c r="H661" t="s">
        <v>24</v>
      </c>
      <c r="I661" t="s">
        <v>83</v>
      </c>
      <c r="J661" s="2">
        <v>45876</v>
      </c>
      <c r="K661" s="2">
        <v>45876</v>
      </c>
      <c r="L661" t="s">
        <v>26</v>
      </c>
      <c r="M661" t="s">
        <v>57</v>
      </c>
      <c r="O661" t="s">
        <v>28</v>
      </c>
      <c r="Q661">
        <f t="shared" si="40"/>
        <v>1</v>
      </c>
      <c r="R661" s="3">
        <f t="shared" si="41"/>
        <v>2</v>
      </c>
      <c r="S661">
        <f t="shared" si="42"/>
        <v>0</v>
      </c>
      <c r="T661">
        <f t="shared" si="43"/>
        <v>0</v>
      </c>
    </row>
    <row r="662" spans="1:20" x14ac:dyDescent="0.25">
      <c r="A662" t="s">
        <v>728</v>
      </c>
      <c r="B662">
        <v>661</v>
      </c>
      <c r="C662" t="s">
        <v>59</v>
      </c>
      <c r="D662" t="s">
        <v>52</v>
      </c>
      <c r="E662" t="s">
        <v>60</v>
      </c>
      <c r="F662" s="2">
        <v>45752</v>
      </c>
      <c r="G662" s="2">
        <v>45754</v>
      </c>
      <c r="H662" t="s">
        <v>45</v>
      </c>
      <c r="I662" t="s">
        <v>62</v>
      </c>
      <c r="J662" s="2">
        <v>45759</v>
      </c>
      <c r="K662" s="2">
        <v>45759</v>
      </c>
      <c r="L662" t="s">
        <v>26</v>
      </c>
      <c r="M662" t="s">
        <v>27</v>
      </c>
      <c r="O662" t="s">
        <v>81</v>
      </c>
      <c r="Q662">
        <f t="shared" si="40"/>
        <v>1</v>
      </c>
      <c r="R662" s="3">
        <f t="shared" si="41"/>
        <v>7</v>
      </c>
      <c r="S662">
        <f t="shared" si="42"/>
        <v>0</v>
      </c>
      <c r="T662">
        <f t="shared" si="43"/>
        <v>0</v>
      </c>
    </row>
    <row r="663" spans="1:20" x14ac:dyDescent="0.25">
      <c r="A663" t="s">
        <v>729</v>
      </c>
      <c r="B663">
        <v>662</v>
      </c>
      <c r="C663" t="s">
        <v>78</v>
      </c>
      <c r="D663" t="s">
        <v>39</v>
      </c>
      <c r="E663" t="s">
        <v>23</v>
      </c>
      <c r="F663" s="2">
        <v>46009</v>
      </c>
      <c r="G663" s="2">
        <v>46011</v>
      </c>
      <c r="H663" t="s">
        <v>41</v>
      </c>
      <c r="I663" t="s">
        <v>73</v>
      </c>
      <c r="J663" s="2">
        <v>46014</v>
      </c>
      <c r="K663" s="2">
        <v>46014</v>
      </c>
      <c r="L663" t="s">
        <v>26</v>
      </c>
      <c r="M663" t="s">
        <v>27</v>
      </c>
      <c r="O663" t="s">
        <v>43</v>
      </c>
      <c r="Q663">
        <f t="shared" si="40"/>
        <v>1</v>
      </c>
      <c r="R663" s="3">
        <f t="shared" si="41"/>
        <v>5</v>
      </c>
      <c r="S663">
        <f t="shared" si="42"/>
        <v>0</v>
      </c>
      <c r="T663">
        <f t="shared" si="43"/>
        <v>0</v>
      </c>
    </row>
    <row r="664" spans="1:20" x14ac:dyDescent="0.25">
      <c r="A664" t="s">
        <v>730</v>
      </c>
      <c r="B664">
        <v>663</v>
      </c>
      <c r="C664" t="s">
        <v>59</v>
      </c>
      <c r="D664" t="s">
        <v>52</v>
      </c>
      <c r="E664" t="s">
        <v>60</v>
      </c>
      <c r="F664" s="2">
        <v>45947</v>
      </c>
      <c r="G664" s="2">
        <v>45947</v>
      </c>
      <c r="H664" t="s">
        <v>31</v>
      </c>
      <c r="I664" t="s">
        <v>54</v>
      </c>
      <c r="J664" s="2">
        <v>45952</v>
      </c>
      <c r="K664" s="2">
        <v>45953</v>
      </c>
      <c r="L664" t="s">
        <v>46</v>
      </c>
      <c r="M664" t="s">
        <v>57</v>
      </c>
      <c r="O664" t="s">
        <v>34</v>
      </c>
      <c r="P664" t="s">
        <v>71</v>
      </c>
      <c r="Q664">
        <f t="shared" si="40"/>
        <v>0</v>
      </c>
      <c r="R664" s="3">
        <f t="shared" si="41"/>
        <v>5</v>
      </c>
      <c r="S664">
        <f t="shared" si="42"/>
        <v>0</v>
      </c>
      <c r="T664">
        <f t="shared" si="43"/>
        <v>1</v>
      </c>
    </row>
    <row r="665" spans="1:20" x14ac:dyDescent="0.25">
      <c r="A665" t="s">
        <v>731</v>
      </c>
      <c r="B665">
        <v>664</v>
      </c>
      <c r="C665" t="s">
        <v>21</v>
      </c>
      <c r="D665" t="s">
        <v>30</v>
      </c>
      <c r="E665" t="s">
        <v>60</v>
      </c>
      <c r="F665" s="2">
        <v>45738</v>
      </c>
      <c r="G665" s="2">
        <v>45739</v>
      </c>
      <c r="H665" t="s">
        <v>45</v>
      </c>
      <c r="I665" t="s">
        <v>85</v>
      </c>
      <c r="J665" s="2">
        <v>45741</v>
      </c>
      <c r="K665" s="2">
        <v>45741</v>
      </c>
      <c r="L665" t="s">
        <v>26</v>
      </c>
      <c r="M665" t="s">
        <v>57</v>
      </c>
      <c r="O665" t="s">
        <v>34</v>
      </c>
      <c r="Q665">
        <f t="shared" si="40"/>
        <v>1</v>
      </c>
      <c r="R665" s="3">
        <f t="shared" si="41"/>
        <v>3</v>
      </c>
      <c r="S665">
        <f t="shared" si="42"/>
        <v>0</v>
      </c>
      <c r="T665">
        <f t="shared" si="43"/>
        <v>0</v>
      </c>
    </row>
    <row r="666" spans="1:20" x14ac:dyDescent="0.25">
      <c r="A666" t="s">
        <v>732</v>
      </c>
      <c r="B666">
        <v>665</v>
      </c>
      <c r="C666" t="s">
        <v>51</v>
      </c>
      <c r="D666" t="s">
        <v>22</v>
      </c>
      <c r="E666" t="s">
        <v>40</v>
      </c>
      <c r="F666" s="2">
        <v>45735</v>
      </c>
      <c r="G666" s="2">
        <v>45735</v>
      </c>
      <c r="H666" t="s">
        <v>31</v>
      </c>
      <c r="I666" t="s">
        <v>85</v>
      </c>
      <c r="J666" s="2">
        <v>45738</v>
      </c>
      <c r="K666" s="2">
        <v>45740</v>
      </c>
      <c r="L666" t="s">
        <v>26</v>
      </c>
      <c r="M666" t="s">
        <v>32</v>
      </c>
      <c r="N666" t="s">
        <v>47</v>
      </c>
      <c r="O666" t="s">
        <v>69</v>
      </c>
      <c r="Q666">
        <f t="shared" si="40"/>
        <v>0</v>
      </c>
      <c r="R666" s="3">
        <f t="shared" si="41"/>
        <v>3</v>
      </c>
      <c r="S666">
        <f t="shared" si="42"/>
        <v>1</v>
      </c>
      <c r="T666">
        <f t="shared" si="43"/>
        <v>0</v>
      </c>
    </row>
    <row r="667" spans="1:20" x14ac:dyDescent="0.25">
      <c r="A667" t="s">
        <v>733</v>
      </c>
      <c r="B667">
        <v>666</v>
      </c>
      <c r="C667" t="s">
        <v>51</v>
      </c>
      <c r="D667" t="s">
        <v>22</v>
      </c>
      <c r="E667" t="s">
        <v>56</v>
      </c>
      <c r="F667" s="2">
        <v>45680</v>
      </c>
      <c r="G667" s="2">
        <v>45682</v>
      </c>
      <c r="H667" t="s">
        <v>45</v>
      </c>
      <c r="I667" t="s">
        <v>42</v>
      </c>
      <c r="J667" s="2">
        <v>45687</v>
      </c>
      <c r="K667" s="2">
        <v>45690</v>
      </c>
      <c r="L667" t="s">
        <v>26</v>
      </c>
      <c r="M667" t="s">
        <v>32</v>
      </c>
      <c r="N667" t="s">
        <v>264</v>
      </c>
      <c r="O667" t="s">
        <v>28</v>
      </c>
      <c r="Q667">
        <f t="shared" si="40"/>
        <v>0</v>
      </c>
      <c r="R667" s="3">
        <f t="shared" si="41"/>
        <v>7</v>
      </c>
      <c r="S667">
        <f t="shared" si="42"/>
        <v>1</v>
      </c>
      <c r="T667">
        <f t="shared" si="43"/>
        <v>0</v>
      </c>
    </row>
    <row r="668" spans="1:20" x14ac:dyDescent="0.25">
      <c r="A668" t="s">
        <v>734</v>
      </c>
      <c r="B668">
        <v>667</v>
      </c>
      <c r="C668" t="s">
        <v>51</v>
      </c>
      <c r="D668" t="s">
        <v>52</v>
      </c>
      <c r="E668" t="s">
        <v>40</v>
      </c>
      <c r="F668" s="2">
        <v>45872</v>
      </c>
      <c r="G668" s="2">
        <v>45872</v>
      </c>
      <c r="H668" t="s">
        <v>61</v>
      </c>
      <c r="I668" t="s">
        <v>85</v>
      </c>
      <c r="J668" s="2">
        <v>45875</v>
      </c>
      <c r="K668" s="2">
        <v>45875</v>
      </c>
      <c r="L668" t="s">
        <v>26</v>
      </c>
      <c r="M668" t="s">
        <v>57</v>
      </c>
      <c r="O668" t="s">
        <v>81</v>
      </c>
      <c r="P668" t="s">
        <v>71</v>
      </c>
      <c r="Q668">
        <f t="shared" si="40"/>
        <v>1</v>
      </c>
      <c r="R668" s="3">
        <f t="shared" si="41"/>
        <v>3</v>
      </c>
      <c r="S668">
        <f t="shared" si="42"/>
        <v>0</v>
      </c>
      <c r="T668">
        <f t="shared" si="43"/>
        <v>0</v>
      </c>
    </row>
    <row r="669" spans="1:20" x14ac:dyDescent="0.25">
      <c r="A669" t="s">
        <v>735</v>
      </c>
      <c r="B669">
        <v>668</v>
      </c>
      <c r="C669" t="s">
        <v>36</v>
      </c>
      <c r="D669" t="s">
        <v>52</v>
      </c>
      <c r="E669" t="s">
        <v>23</v>
      </c>
      <c r="F669" s="2">
        <v>45729</v>
      </c>
      <c r="G669" s="2">
        <v>45730</v>
      </c>
      <c r="H669" t="s">
        <v>45</v>
      </c>
      <c r="I669" t="s">
        <v>83</v>
      </c>
      <c r="J669" s="2">
        <v>45732</v>
      </c>
      <c r="K669" s="2">
        <v>45732</v>
      </c>
      <c r="L669" t="s">
        <v>26</v>
      </c>
      <c r="M669" t="s">
        <v>27</v>
      </c>
      <c r="O669" t="s">
        <v>81</v>
      </c>
      <c r="Q669">
        <f t="shared" si="40"/>
        <v>1</v>
      </c>
      <c r="R669" s="3">
        <f t="shared" si="41"/>
        <v>3</v>
      </c>
      <c r="S669">
        <f t="shared" si="42"/>
        <v>0</v>
      </c>
      <c r="T669">
        <f t="shared" si="43"/>
        <v>0</v>
      </c>
    </row>
    <row r="670" spans="1:20" x14ac:dyDescent="0.25">
      <c r="A670" t="s">
        <v>736</v>
      </c>
      <c r="B670">
        <v>669</v>
      </c>
      <c r="C670" t="s">
        <v>36</v>
      </c>
      <c r="D670" t="s">
        <v>30</v>
      </c>
      <c r="E670" t="s">
        <v>56</v>
      </c>
      <c r="F670" s="2">
        <v>45886</v>
      </c>
      <c r="G670" s="2">
        <v>45886</v>
      </c>
      <c r="H670" t="s">
        <v>45</v>
      </c>
      <c r="I670" t="s">
        <v>83</v>
      </c>
      <c r="J670" s="2">
        <v>45887</v>
      </c>
      <c r="K670" s="2">
        <v>45887</v>
      </c>
      <c r="L670" t="s">
        <v>26</v>
      </c>
      <c r="M670" t="s">
        <v>57</v>
      </c>
      <c r="O670" t="s">
        <v>69</v>
      </c>
      <c r="Q670">
        <f t="shared" si="40"/>
        <v>1</v>
      </c>
      <c r="R670" s="3">
        <f t="shared" si="41"/>
        <v>1</v>
      </c>
      <c r="S670">
        <f t="shared" si="42"/>
        <v>0</v>
      </c>
      <c r="T670">
        <f t="shared" si="43"/>
        <v>0</v>
      </c>
    </row>
    <row r="671" spans="1:20" x14ac:dyDescent="0.25">
      <c r="A671" t="s">
        <v>737</v>
      </c>
      <c r="B671">
        <v>670</v>
      </c>
      <c r="C671" t="s">
        <v>21</v>
      </c>
      <c r="D671" t="s">
        <v>22</v>
      </c>
      <c r="E671" t="s">
        <v>60</v>
      </c>
      <c r="F671" s="2">
        <v>45964</v>
      </c>
      <c r="G671" s="2">
        <v>45964</v>
      </c>
      <c r="H671" t="s">
        <v>31</v>
      </c>
      <c r="I671" t="s">
        <v>25</v>
      </c>
      <c r="J671" s="2">
        <v>45969</v>
      </c>
      <c r="K671" s="2">
        <v>45969</v>
      </c>
      <c r="L671" t="s">
        <v>26</v>
      </c>
      <c r="M671" t="s">
        <v>57</v>
      </c>
      <c r="O671" t="s">
        <v>43</v>
      </c>
      <c r="Q671">
        <f t="shared" si="40"/>
        <v>1</v>
      </c>
      <c r="R671" s="3">
        <f t="shared" si="41"/>
        <v>5</v>
      </c>
      <c r="S671">
        <f t="shared" si="42"/>
        <v>0</v>
      </c>
      <c r="T671">
        <f t="shared" si="43"/>
        <v>0</v>
      </c>
    </row>
    <row r="672" spans="1:20" x14ac:dyDescent="0.25">
      <c r="A672" t="s">
        <v>738</v>
      </c>
      <c r="B672">
        <v>671</v>
      </c>
      <c r="C672" t="s">
        <v>21</v>
      </c>
      <c r="D672" t="s">
        <v>52</v>
      </c>
      <c r="E672" t="s">
        <v>56</v>
      </c>
      <c r="F672" s="2">
        <v>45975</v>
      </c>
      <c r="G672" s="2">
        <v>45976</v>
      </c>
      <c r="H672" t="s">
        <v>45</v>
      </c>
      <c r="I672" t="s">
        <v>85</v>
      </c>
      <c r="J672" s="2">
        <v>45980</v>
      </c>
      <c r="K672" s="2">
        <v>45981</v>
      </c>
      <c r="L672" t="s">
        <v>26</v>
      </c>
      <c r="M672" t="s">
        <v>32</v>
      </c>
      <c r="N672" t="s">
        <v>67</v>
      </c>
      <c r="O672" t="s">
        <v>34</v>
      </c>
      <c r="Q672">
        <f t="shared" si="40"/>
        <v>0</v>
      </c>
      <c r="R672" s="3">
        <f t="shared" si="41"/>
        <v>5</v>
      </c>
      <c r="S672">
        <f t="shared" si="42"/>
        <v>1</v>
      </c>
      <c r="T672">
        <f t="shared" si="43"/>
        <v>0</v>
      </c>
    </row>
    <row r="673" spans="1:20" x14ac:dyDescent="0.25">
      <c r="A673" t="s">
        <v>739</v>
      </c>
      <c r="B673">
        <v>672</v>
      </c>
      <c r="C673" t="s">
        <v>78</v>
      </c>
      <c r="D673" t="s">
        <v>39</v>
      </c>
      <c r="E673" t="s">
        <v>60</v>
      </c>
      <c r="F673" s="2">
        <v>45697</v>
      </c>
      <c r="G673" s="2">
        <v>45698</v>
      </c>
      <c r="H673" t="s">
        <v>31</v>
      </c>
      <c r="I673" t="s">
        <v>62</v>
      </c>
      <c r="J673" s="2">
        <v>45700</v>
      </c>
      <c r="K673" s="2">
        <v>45700</v>
      </c>
      <c r="L673" t="s">
        <v>46</v>
      </c>
      <c r="M673" t="s">
        <v>27</v>
      </c>
      <c r="O673" t="s">
        <v>28</v>
      </c>
      <c r="Q673">
        <f t="shared" si="40"/>
        <v>1</v>
      </c>
      <c r="R673" s="3">
        <f t="shared" si="41"/>
        <v>3</v>
      </c>
      <c r="S673">
        <f t="shared" si="42"/>
        <v>0</v>
      </c>
      <c r="T673">
        <f t="shared" si="43"/>
        <v>1</v>
      </c>
    </row>
    <row r="674" spans="1:20" x14ac:dyDescent="0.25">
      <c r="A674" t="s">
        <v>740</v>
      </c>
      <c r="B674">
        <v>673</v>
      </c>
      <c r="C674" t="s">
        <v>78</v>
      </c>
      <c r="D674" t="s">
        <v>30</v>
      </c>
      <c r="E674" t="s">
        <v>23</v>
      </c>
      <c r="F674" s="2">
        <v>45780</v>
      </c>
      <c r="G674" s="2">
        <v>45780</v>
      </c>
      <c r="H674" t="s">
        <v>45</v>
      </c>
      <c r="I674" t="s">
        <v>62</v>
      </c>
      <c r="J674" s="2">
        <v>45784</v>
      </c>
      <c r="K674" s="2">
        <v>45784</v>
      </c>
      <c r="L674" t="s">
        <v>26</v>
      </c>
      <c r="M674" t="s">
        <v>57</v>
      </c>
      <c r="O674" t="s">
        <v>37</v>
      </c>
      <c r="Q674">
        <f t="shared" si="40"/>
        <v>1</v>
      </c>
      <c r="R674" s="3">
        <f t="shared" si="41"/>
        <v>4</v>
      </c>
      <c r="S674">
        <f t="shared" si="42"/>
        <v>0</v>
      </c>
      <c r="T674">
        <f t="shared" si="43"/>
        <v>0</v>
      </c>
    </row>
    <row r="675" spans="1:20" x14ac:dyDescent="0.25">
      <c r="A675" t="s">
        <v>741</v>
      </c>
      <c r="B675">
        <v>674</v>
      </c>
      <c r="C675" t="s">
        <v>36</v>
      </c>
      <c r="D675" t="s">
        <v>52</v>
      </c>
      <c r="E675" t="s">
        <v>60</v>
      </c>
      <c r="F675" s="2">
        <v>45828</v>
      </c>
      <c r="G675" s="2">
        <v>45830</v>
      </c>
      <c r="H675" t="s">
        <v>24</v>
      </c>
      <c r="I675" t="s">
        <v>62</v>
      </c>
      <c r="J675" s="2">
        <v>45836</v>
      </c>
      <c r="K675" s="2">
        <v>45836</v>
      </c>
      <c r="L675" t="s">
        <v>46</v>
      </c>
      <c r="M675" t="s">
        <v>57</v>
      </c>
      <c r="O675" t="s">
        <v>43</v>
      </c>
      <c r="Q675">
        <f t="shared" si="40"/>
        <v>1</v>
      </c>
      <c r="R675" s="3">
        <f t="shared" si="41"/>
        <v>8</v>
      </c>
      <c r="S675">
        <f t="shared" si="42"/>
        <v>0</v>
      </c>
      <c r="T675">
        <f t="shared" si="43"/>
        <v>1</v>
      </c>
    </row>
    <row r="676" spans="1:20" x14ac:dyDescent="0.25">
      <c r="A676" t="s">
        <v>742</v>
      </c>
      <c r="B676">
        <v>675</v>
      </c>
      <c r="C676" t="s">
        <v>51</v>
      </c>
      <c r="D676" t="s">
        <v>30</v>
      </c>
      <c r="E676" t="s">
        <v>40</v>
      </c>
      <c r="F676" s="2">
        <v>45816</v>
      </c>
      <c r="G676" s="2">
        <v>45816</v>
      </c>
      <c r="H676" t="s">
        <v>41</v>
      </c>
      <c r="I676" t="s">
        <v>25</v>
      </c>
      <c r="J676" s="2">
        <v>45821</v>
      </c>
      <c r="K676" s="2">
        <v>45821</v>
      </c>
      <c r="L676" t="s">
        <v>26</v>
      </c>
      <c r="M676" t="s">
        <v>57</v>
      </c>
      <c r="O676" t="s">
        <v>37</v>
      </c>
      <c r="P676" t="s">
        <v>71</v>
      </c>
      <c r="Q676">
        <f t="shared" si="40"/>
        <v>1</v>
      </c>
      <c r="R676" s="3">
        <f t="shared" si="41"/>
        <v>5</v>
      </c>
      <c r="S676">
        <f t="shared" si="42"/>
        <v>0</v>
      </c>
      <c r="T676">
        <f t="shared" si="43"/>
        <v>0</v>
      </c>
    </row>
    <row r="677" spans="1:20" x14ac:dyDescent="0.25">
      <c r="A677" t="s">
        <v>743</v>
      </c>
      <c r="B677">
        <v>676</v>
      </c>
      <c r="C677" t="s">
        <v>78</v>
      </c>
      <c r="D677" t="s">
        <v>22</v>
      </c>
      <c r="E677" t="s">
        <v>40</v>
      </c>
      <c r="F677" s="2">
        <v>45835</v>
      </c>
      <c r="G677" s="2">
        <v>45835</v>
      </c>
      <c r="H677" t="s">
        <v>61</v>
      </c>
      <c r="I677" t="s">
        <v>85</v>
      </c>
      <c r="J677" s="2">
        <v>45838</v>
      </c>
      <c r="K677" s="2">
        <v>45838</v>
      </c>
      <c r="L677" t="s">
        <v>26</v>
      </c>
      <c r="M677" t="s">
        <v>27</v>
      </c>
      <c r="O677" t="s">
        <v>69</v>
      </c>
      <c r="Q677">
        <f t="shared" si="40"/>
        <v>1</v>
      </c>
      <c r="R677" s="3">
        <f t="shared" si="41"/>
        <v>3</v>
      </c>
      <c r="S677">
        <f t="shared" si="42"/>
        <v>0</v>
      </c>
      <c r="T677">
        <f t="shared" si="43"/>
        <v>0</v>
      </c>
    </row>
    <row r="678" spans="1:20" x14ac:dyDescent="0.25">
      <c r="A678" t="s">
        <v>744</v>
      </c>
      <c r="B678">
        <v>677</v>
      </c>
      <c r="C678" t="s">
        <v>78</v>
      </c>
      <c r="D678" t="s">
        <v>30</v>
      </c>
      <c r="E678" t="s">
        <v>23</v>
      </c>
      <c r="F678" s="2">
        <v>45864</v>
      </c>
      <c r="G678" s="2">
        <v>45865</v>
      </c>
      <c r="H678" t="s">
        <v>31</v>
      </c>
      <c r="I678" t="s">
        <v>62</v>
      </c>
      <c r="J678" s="2">
        <v>45869</v>
      </c>
      <c r="K678" s="2">
        <v>45869</v>
      </c>
      <c r="L678" t="s">
        <v>46</v>
      </c>
      <c r="M678" t="s">
        <v>27</v>
      </c>
      <c r="O678" t="s">
        <v>81</v>
      </c>
      <c r="P678" t="s">
        <v>71</v>
      </c>
      <c r="Q678">
        <f t="shared" si="40"/>
        <v>1</v>
      </c>
      <c r="R678" s="3">
        <f t="shared" si="41"/>
        <v>5</v>
      </c>
      <c r="S678">
        <f t="shared" si="42"/>
        <v>0</v>
      </c>
      <c r="T678">
        <f t="shared" si="43"/>
        <v>1</v>
      </c>
    </row>
    <row r="679" spans="1:20" x14ac:dyDescent="0.25">
      <c r="A679" t="s">
        <v>745</v>
      </c>
      <c r="B679">
        <v>678</v>
      </c>
      <c r="C679" t="s">
        <v>36</v>
      </c>
      <c r="D679" t="s">
        <v>52</v>
      </c>
      <c r="E679" t="s">
        <v>60</v>
      </c>
      <c r="F679" s="2">
        <v>45958</v>
      </c>
      <c r="G679" s="2">
        <v>45959</v>
      </c>
      <c r="H679" t="s">
        <v>61</v>
      </c>
      <c r="I679" t="s">
        <v>73</v>
      </c>
      <c r="J679" s="2">
        <v>45962</v>
      </c>
      <c r="K679" s="2">
        <v>45962</v>
      </c>
      <c r="L679" t="s">
        <v>26</v>
      </c>
      <c r="M679" t="s">
        <v>27</v>
      </c>
      <c r="O679" t="s">
        <v>43</v>
      </c>
      <c r="Q679">
        <f t="shared" si="40"/>
        <v>1</v>
      </c>
      <c r="R679" s="3">
        <f t="shared" si="41"/>
        <v>4</v>
      </c>
      <c r="S679">
        <f t="shared" si="42"/>
        <v>0</v>
      </c>
      <c r="T679">
        <f t="shared" si="43"/>
        <v>0</v>
      </c>
    </row>
    <row r="680" spans="1:20" x14ac:dyDescent="0.25">
      <c r="A680" t="s">
        <v>746</v>
      </c>
      <c r="B680">
        <v>679</v>
      </c>
      <c r="C680" t="s">
        <v>36</v>
      </c>
      <c r="D680" t="s">
        <v>30</v>
      </c>
      <c r="E680" t="s">
        <v>56</v>
      </c>
      <c r="F680" s="2">
        <v>45802</v>
      </c>
      <c r="G680" s="2">
        <v>45803</v>
      </c>
      <c r="H680" t="s">
        <v>24</v>
      </c>
      <c r="I680" t="s">
        <v>62</v>
      </c>
      <c r="J680" s="2">
        <v>45806</v>
      </c>
      <c r="K680" s="2">
        <v>45806</v>
      </c>
      <c r="L680" t="s">
        <v>26</v>
      </c>
      <c r="M680" t="s">
        <v>27</v>
      </c>
      <c r="O680" t="s">
        <v>43</v>
      </c>
      <c r="Q680">
        <f t="shared" si="40"/>
        <v>1</v>
      </c>
      <c r="R680" s="3">
        <f t="shared" si="41"/>
        <v>4</v>
      </c>
      <c r="S680">
        <f t="shared" si="42"/>
        <v>0</v>
      </c>
      <c r="T680">
        <f t="shared" si="43"/>
        <v>0</v>
      </c>
    </row>
    <row r="681" spans="1:20" x14ac:dyDescent="0.25">
      <c r="A681" t="s">
        <v>747</v>
      </c>
      <c r="B681">
        <v>680</v>
      </c>
      <c r="C681" t="s">
        <v>21</v>
      </c>
      <c r="D681" t="s">
        <v>64</v>
      </c>
      <c r="E681" t="s">
        <v>56</v>
      </c>
      <c r="F681" s="2">
        <v>45824</v>
      </c>
      <c r="G681" s="2">
        <v>45824</v>
      </c>
      <c r="H681" t="s">
        <v>31</v>
      </c>
      <c r="I681" t="s">
        <v>73</v>
      </c>
      <c r="J681" s="2">
        <v>45825</v>
      </c>
      <c r="K681" s="2">
        <v>45825</v>
      </c>
      <c r="L681" t="s">
        <v>26</v>
      </c>
      <c r="M681" t="s">
        <v>27</v>
      </c>
      <c r="O681" t="s">
        <v>34</v>
      </c>
      <c r="Q681">
        <f t="shared" si="40"/>
        <v>1</v>
      </c>
      <c r="R681" s="3">
        <f t="shared" si="41"/>
        <v>1</v>
      </c>
      <c r="S681">
        <f t="shared" si="42"/>
        <v>0</v>
      </c>
      <c r="T681">
        <f t="shared" si="43"/>
        <v>0</v>
      </c>
    </row>
    <row r="682" spans="1:20" x14ac:dyDescent="0.25">
      <c r="A682" t="s">
        <v>748</v>
      </c>
      <c r="B682">
        <v>681</v>
      </c>
      <c r="C682" t="s">
        <v>59</v>
      </c>
      <c r="D682" t="s">
        <v>39</v>
      </c>
      <c r="E682" t="s">
        <v>53</v>
      </c>
      <c r="F682" s="2">
        <v>45814</v>
      </c>
      <c r="G682" s="2">
        <v>45816</v>
      </c>
      <c r="H682" t="s">
        <v>41</v>
      </c>
      <c r="I682" t="s">
        <v>42</v>
      </c>
      <c r="J682" s="2">
        <v>45818</v>
      </c>
      <c r="K682" s="2">
        <v>45818</v>
      </c>
      <c r="L682" t="s">
        <v>26</v>
      </c>
      <c r="M682" t="s">
        <v>57</v>
      </c>
      <c r="O682" t="s">
        <v>81</v>
      </c>
      <c r="Q682">
        <f t="shared" si="40"/>
        <v>1</v>
      </c>
      <c r="R682" s="3">
        <f t="shared" si="41"/>
        <v>4</v>
      </c>
      <c r="S682">
        <f t="shared" si="42"/>
        <v>0</v>
      </c>
      <c r="T682">
        <f t="shared" si="43"/>
        <v>0</v>
      </c>
    </row>
    <row r="683" spans="1:20" x14ac:dyDescent="0.25">
      <c r="A683" t="s">
        <v>749</v>
      </c>
      <c r="B683">
        <v>682</v>
      </c>
      <c r="C683" t="s">
        <v>59</v>
      </c>
      <c r="D683" t="s">
        <v>39</v>
      </c>
      <c r="E683" t="s">
        <v>23</v>
      </c>
      <c r="F683" s="2">
        <v>45727</v>
      </c>
      <c r="G683" s="2">
        <v>45727</v>
      </c>
      <c r="H683" t="s">
        <v>61</v>
      </c>
      <c r="I683" t="s">
        <v>73</v>
      </c>
      <c r="J683" s="2">
        <v>45730</v>
      </c>
      <c r="K683" s="2">
        <v>45730</v>
      </c>
      <c r="L683" t="s">
        <v>26</v>
      </c>
      <c r="M683" t="s">
        <v>27</v>
      </c>
      <c r="O683" t="s">
        <v>69</v>
      </c>
      <c r="Q683">
        <f t="shared" si="40"/>
        <v>1</v>
      </c>
      <c r="R683" s="3">
        <f t="shared" si="41"/>
        <v>3</v>
      </c>
      <c r="S683">
        <f t="shared" si="42"/>
        <v>0</v>
      </c>
      <c r="T683">
        <f t="shared" si="43"/>
        <v>0</v>
      </c>
    </row>
    <row r="684" spans="1:20" x14ac:dyDescent="0.25">
      <c r="A684" t="s">
        <v>750</v>
      </c>
      <c r="B684">
        <v>683</v>
      </c>
      <c r="C684" t="s">
        <v>36</v>
      </c>
      <c r="D684" t="s">
        <v>22</v>
      </c>
      <c r="E684" t="s">
        <v>40</v>
      </c>
      <c r="F684" s="2">
        <v>45907</v>
      </c>
      <c r="G684" s="2">
        <v>45907</v>
      </c>
      <c r="H684" t="s">
        <v>61</v>
      </c>
      <c r="I684" t="s">
        <v>83</v>
      </c>
      <c r="J684" s="2">
        <v>45909</v>
      </c>
      <c r="K684" s="2">
        <v>45910</v>
      </c>
      <c r="L684" t="s">
        <v>26</v>
      </c>
      <c r="M684" t="s">
        <v>57</v>
      </c>
      <c r="O684" t="s">
        <v>43</v>
      </c>
      <c r="Q684">
        <f t="shared" si="40"/>
        <v>0</v>
      </c>
      <c r="R684" s="3">
        <f t="shared" si="41"/>
        <v>2</v>
      </c>
      <c r="S684">
        <f t="shared" si="42"/>
        <v>0</v>
      </c>
      <c r="T684">
        <f t="shared" si="43"/>
        <v>0</v>
      </c>
    </row>
    <row r="685" spans="1:20" x14ac:dyDescent="0.25">
      <c r="A685" t="s">
        <v>751</v>
      </c>
      <c r="B685">
        <v>684</v>
      </c>
      <c r="C685" t="s">
        <v>21</v>
      </c>
      <c r="D685" t="s">
        <v>52</v>
      </c>
      <c r="E685" t="s">
        <v>40</v>
      </c>
      <c r="F685" s="2">
        <v>45831</v>
      </c>
      <c r="G685" s="2">
        <v>45832</v>
      </c>
      <c r="H685" t="s">
        <v>61</v>
      </c>
      <c r="I685" t="s">
        <v>25</v>
      </c>
      <c r="J685" s="2">
        <v>45837</v>
      </c>
      <c r="K685" s="2">
        <v>45838</v>
      </c>
      <c r="L685" t="s">
        <v>26</v>
      </c>
      <c r="M685" t="s">
        <v>27</v>
      </c>
      <c r="O685" t="s">
        <v>28</v>
      </c>
      <c r="Q685">
        <f t="shared" si="40"/>
        <v>0</v>
      </c>
      <c r="R685" s="3">
        <f t="shared" si="41"/>
        <v>6</v>
      </c>
      <c r="S685">
        <f t="shared" si="42"/>
        <v>0</v>
      </c>
      <c r="T685">
        <f t="shared" si="43"/>
        <v>0</v>
      </c>
    </row>
    <row r="686" spans="1:20" x14ac:dyDescent="0.25">
      <c r="A686" t="s">
        <v>752</v>
      </c>
      <c r="B686">
        <v>685</v>
      </c>
      <c r="C686" t="s">
        <v>21</v>
      </c>
      <c r="D686" t="s">
        <v>30</v>
      </c>
      <c r="E686" t="s">
        <v>40</v>
      </c>
      <c r="F686" s="2">
        <v>46015</v>
      </c>
      <c r="G686" s="2">
        <v>46015</v>
      </c>
      <c r="H686" t="s">
        <v>31</v>
      </c>
      <c r="I686" t="s">
        <v>54</v>
      </c>
      <c r="J686" s="2">
        <v>46016</v>
      </c>
      <c r="K686" s="2">
        <v>46016</v>
      </c>
      <c r="L686" t="s">
        <v>26</v>
      </c>
      <c r="M686" t="s">
        <v>57</v>
      </c>
      <c r="O686" t="s">
        <v>43</v>
      </c>
      <c r="P686" t="s">
        <v>76</v>
      </c>
      <c r="Q686">
        <f t="shared" si="40"/>
        <v>1</v>
      </c>
      <c r="R686" s="3">
        <f t="shared" si="41"/>
        <v>1</v>
      </c>
      <c r="S686">
        <f t="shared" si="42"/>
        <v>0</v>
      </c>
      <c r="T686">
        <f t="shared" si="43"/>
        <v>0</v>
      </c>
    </row>
    <row r="687" spans="1:20" x14ac:dyDescent="0.25">
      <c r="A687" t="s">
        <v>753</v>
      </c>
      <c r="B687">
        <v>686</v>
      </c>
      <c r="C687" t="s">
        <v>51</v>
      </c>
      <c r="D687" t="s">
        <v>22</v>
      </c>
      <c r="E687" t="s">
        <v>53</v>
      </c>
      <c r="F687" s="2">
        <v>45983</v>
      </c>
      <c r="G687" s="2">
        <v>45985</v>
      </c>
      <c r="H687" t="s">
        <v>61</v>
      </c>
      <c r="I687" t="s">
        <v>62</v>
      </c>
      <c r="J687" s="2">
        <v>45990</v>
      </c>
      <c r="K687" s="2">
        <v>45990</v>
      </c>
      <c r="L687" t="s">
        <v>26</v>
      </c>
      <c r="M687" t="s">
        <v>57</v>
      </c>
      <c r="O687" t="s">
        <v>28</v>
      </c>
      <c r="Q687">
        <f t="shared" si="40"/>
        <v>1</v>
      </c>
      <c r="R687" s="3">
        <f t="shared" si="41"/>
        <v>7</v>
      </c>
      <c r="S687">
        <f t="shared" si="42"/>
        <v>0</v>
      </c>
      <c r="T687">
        <f t="shared" si="43"/>
        <v>0</v>
      </c>
    </row>
    <row r="688" spans="1:20" x14ac:dyDescent="0.25">
      <c r="A688" t="s">
        <v>754</v>
      </c>
      <c r="B688">
        <v>687</v>
      </c>
      <c r="C688" t="s">
        <v>21</v>
      </c>
      <c r="D688" t="s">
        <v>52</v>
      </c>
      <c r="E688" t="s">
        <v>56</v>
      </c>
      <c r="F688" s="2">
        <v>45756</v>
      </c>
      <c r="G688" s="2">
        <v>45757</v>
      </c>
      <c r="H688" t="s">
        <v>24</v>
      </c>
      <c r="I688" t="s">
        <v>54</v>
      </c>
      <c r="J688" s="2">
        <v>45760</v>
      </c>
      <c r="K688" s="2">
        <v>45760</v>
      </c>
      <c r="L688" t="s">
        <v>26</v>
      </c>
      <c r="M688" t="s">
        <v>57</v>
      </c>
      <c r="O688" t="s">
        <v>37</v>
      </c>
      <c r="Q688">
        <f t="shared" si="40"/>
        <v>1</v>
      </c>
      <c r="R688" s="3">
        <f t="shared" si="41"/>
        <v>4</v>
      </c>
      <c r="S688">
        <f t="shared" si="42"/>
        <v>0</v>
      </c>
      <c r="T688">
        <f t="shared" si="43"/>
        <v>0</v>
      </c>
    </row>
    <row r="689" spans="1:20" x14ac:dyDescent="0.25">
      <c r="A689" t="s">
        <v>755</v>
      </c>
      <c r="B689">
        <v>688</v>
      </c>
      <c r="C689" t="s">
        <v>36</v>
      </c>
      <c r="D689" t="s">
        <v>39</v>
      </c>
      <c r="E689" t="s">
        <v>53</v>
      </c>
      <c r="F689" s="2">
        <v>45772</v>
      </c>
      <c r="G689" s="2">
        <v>45774</v>
      </c>
      <c r="H689" t="s">
        <v>61</v>
      </c>
      <c r="I689" t="s">
        <v>42</v>
      </c>
      <c r="J689" s="2">
        <v>45776</v>
      </c>
      <c r="K689" s="2">
        <v>45776</v>
      </c>
      <c r="L689" t="s">
        <v>26</v>
      </c>
      <c r="M689" t="s">
        <v>57</v>
      </c>
      <c r="O689" t="s">
        <v>34</v>
      </c>
      <c r="P689" t="s">
        <v>93</v>
      </c>
      <c r="Q689">
        <f t="shared" si="40"/>
        <v>1</v>
      </c>
      <c r="R689" s="3">
        <f t="shared" si="41"/>
        <v>4</v>
      </c>
      <c r="S689">
        <f t="shared" si="42"/>
        <v>0</v>
      </c>
      <c r="T689">
        <f t="shared" si="43"/>
        <v>0</v>
      </c>
    </row>
    <row r="690" spans="1:20" x14ac:dyDescent="0.25">
      <c r="A690" t="s">
        <v>756</v>
      </c>
      <c r="B690">
        <v>689</v>
      </c>
      <c r="C690" t="s">
        <v>59</v>
      </c>
      <c r="D690" t="s">
        <v>52</v>
      </c>
      <c r="E690" t="s">
        <v>40</v>
      </c>
      <c r="F690" s="2">
        <v>45966</v>
      </c>
      <c r="G690" s="2">
        <v>45967</v>
      </c>
      <c r="H690" t="s">
        <v>31</v>
      </c>
      <c r="I690" t="s">
        <v>42</v>
      </c>
      <c r="J690" s="2">
        <v>45969</v>
      </c>
      <c r="K690" s="2">
        <v>45970</v>
      </c>
      <c r="L690" t="s">
        <v>46</v>
      </c>
      <c r="M690" t="s">
        <v>32</v>
      </c>
      <c r="N690" t="s">
        <v>67</v>
      </c>
      <c r="O690" t="s">
        <v>28</v>
      </c>
      <c r="Q690">
        <f t="shared" si="40"/>
        <v>0</v>
      </c>
      <c r="R690" s="3">
        <f t="shared" si="41"/>
        <v>3</v>
      </c>
      <c r="S690">
        <f t="shared" si="42"/>
        <v>1</v>
      </c>
      <c r="T690">
        <f t="shared" si="43"/>
        <v>1</v>
      </c>
    </row>
    <row r="691" spans="1:20" x14ac:dyDescent="0.25">
      <c r="A691" t="s">
        <v>757</v>
      </c>
      <c r="B691">
        <v>690</v>
      </c>
      <c r="C691" t="s">
        <v>21</v>
      </c>
      <c r="D691" t="s">
        <v>52</v>
      </c>
      <c r="E691" t="s">
        <v>40</v>
      </c>
      <c r="F691" s="2">
        <v>45874</v>
      </c>
      <c r="G691" s="2">
        <v>45874</v>
      </c>
      <c r="H691" t="s">
        <v>61</v>
      </c>
      <c r="I691" t="s">
        <v>62</v>
      </c>
      <c r="J691" s="2">
        <v>45877</v>
      </c>
      <c r="K691" s="2">
        <v>45878</v>
      </c>
      <c r="L691" t="s">
        <v>46</v>
      </c>
      <c r="M691" t="s">
        <v>57</v>
      </c>
      <c r="O691" t="s">
        <v>69</v>
      </c>
      <c r="P691" t="s">
        <v>76</v>
      </c>
      <c r="Q691">
        <f t="shared" si="40"/>
        <v>0</v>
      </c>
      <c r="R691" s="3">
        <f t="shared" si="41"/>
        <v>3</v>
      </c>
      <c r="S691">
        <f t="shared" si="42"/>
        <v>0</v>
      </c>
      <c r="T691">
        <f t="shared" si="43"/>
        <v>1</v>
      </c>
    </row>
    <row r="692" spans="1:20" x14ac:dyDescent="0.25">
      <c r="A692" t="s">
        <v>758</v>
      </c>
      <c r="B692">
        <v>691</v>
      </c>
      <c r="C692" t="s">
        <v>51</v>
      </c>
      <c r="D692" t="s">
        <v>39</v>
      </c>
      <c r="E692" t="s">
        <v>60</v>
      </c>
      <c r="F692" s="2">
        <v>45670</v>
      </c>
      <c r="G692" s="2">
        <v>45672</v>
      </c>
      <c r="H692" t="s">
        <v>41</v>
      </c>
      <c r="I692" t="s">
        <v>83</v>
      </c>
      <c r="J692" s="2">
        <v>45678</v>
      </c>
      <c r="K692" s="2">
        <v>45678</v>
      </c>
      <c r="L692" t="s">
        <v>26</v>
      </c>
      <c r="M692" t="s">
        <v>57</v>
      </c>
      <c r="O692" t="s">
        <v>81</v>
      </c>
      <c r="P692" t="s">
        <v>93</v>
      </c>
      <c r="Q692">
        <f t="shared" si="40"/>
        <v>1</v>
      </c>
      <c r="R692" s="3">
        <f t="shared" si="41"/>
        <v>8</v>
      </c>
      <c r="S692">
        <f t="shared" si="42"/>
        <v>0</v>
      </c>
      <c r="T692">
        <f t="shared" si="43"/>
        <v>0</v>
      </c>
    </row>
    <row r="693" spans="1:20" x14ac:dyDescent="0.25">
      <c r="A693" t="s">
        <v>759</v>
      </c>
      <c r="B693">
        <v>692</v>
      </c>
      <c r="C693" t="s">
        <v>59</v>
      </c>
      <c r="D693" t="s">
        <v>39</v>
      </c>
      <c r="E693" t="s">
        <v>40</v>
      </c>
      <c r="F693" s="2">
        <v>45902</v>
      </c>
      <c r="G693" s="2">
        <v>45904</v>
      </c>
      <c r="H693" t="s">
        <v>45</v>
      </c>
      <c r="I693" t="s">
        <v>73</v>
      </c>
      <c r="J693" s="2">
        <v>45905</v>
      </c>
      <c r="K693" s="2">
        <v>45905</v>
      </c>
      <c r="L693" t="s">
        <v>26</v>
      </c>
      <c r="M693" t="s">
        <v>57</v>
      </c>
      <c r="O693" t="s">
        <v>43</v>
      </c>
      <c r="P693" t="s">
        <v>88</v>
      </c>
      <c r="Q693">
        <f t="shared" si="40"/>
        <v>1</v>
      </c>
      <c r="R693" s="3">
        <f t="shared" si="41"/>
        <v>3</v>
      </c>
      <c r="S693">
        <f t="shared" si="42"/>
        <v>0</v>
      </c>
      <c r="T693">
        <f t="shared" si="43"/>
        <v>0</v>
      </c>
    </row>
    <row r="694" spans="1:20" x14ac:dyDescent="0.25">
      <c r="A694" t="s">
        <v>760</v>
      </c>
      <c r="B694">
        <v>693</v>
      </c>
      <c r="C694" t="s">
        <v>78</v>
      </c>
      <c r="D694" t="s">
        <v>52</v>
      </c>
      <c r="E694" t="s">
        <v>56</v>
      </c>
      <c r="F694" s="2">
        <v>45814</v>
      </c>
      <c r="G694" s="2">
        <v>45816</v>
      </c>
      <c r="H694" t="s">
        <v>41</v>
      </c>
      <c r="I694" t="s">
        <v>25</v>
      </c>
      <c r="J694" s="2">
        <v>45820</v>
      </c>
      <c r="K694" s="2">
        <v>45820</v>
      </c>
      <c r="L694" t="s">
        <v>26</v>
      </c>
      <c r="M694" t="s">
        <v>57</v>
      </c>
      <c r="O694" t="s">
        <v>37</v>
      </c>
      <c r="Q694">
        <f t="shared" si="40"/>
        <v>1</v>
      </c>
      <c r="R694" s="3">
        <f t="shared" si="41"/>
        <v>6</v>
      </c>
      <c r="S694">
        <f t="shared" si="42"/>
        <v>0</v>
      </c>
      <c r="T694">
        <f t="shared" si="43"/>
        <v>0</v>
      </c>
    </row>
    <row r="695" spans="1:20" x14ac:dyDescent="0.25">
      <c r="A695" t="s">
        <v>761</v>
      </c>
      <c r="B695">
        <v>694</v>
      </c>
      <c r="C695" t="s">
        <v>36</v>
      </c>
      <c r="D695" t="s">
        <v>39</v>
      </c>
      <c r="E695" t="s">
        <v>40</v>
      </c>
      <c r="F695" s="2">
        <v>45975</v>
      </c>
      <c r="G695" s="2">
        <v>45975</v>
      </c>
      <c r="H695" t="s">
        <v>41</v>
      </c>
      <c r="I695" t="s">
        <v>42</v>
      </c>
      <c r="J695" s="2">
        <v>45976</v>
      </c>
      <c r="K695" s="2">
        <v>45979</v>
      </c>
      <c r="L695" t="s">
        <v>26</v>
      </c>
      <c r="M695" t="s">
        <v>32</v>
      </c>
      <c r="N695" t="s">
        <v>47</v>
      </c>
      <c r="O695" t="s">
        <v>28</v>
      </c>
      <c r="Q695">
        <f t="shared" si="40"/>
        <v>0</v>
      </c>
      <c r="R695" s="3">
        <f t="shared" si="41"/>
        <v>1</v>
      </c>
      <c r="S695">
        <f t="shared" si="42"/>
        <v>1</v>
      </c>
      <c r="T695">
        <f t="shared" si="43"/>
        <v>0</v>
      </c>
    </row>
    <row r="696" spans="1:20" x14ac:dyDescent="0.25">
      <c r="A696" t="s">
        <v>762</v>
      </c>
      <c r="B696">
        <v>695</v>
      </c>
      <c r="C696" t="s">
        <v>51</v>
      </c>
      <c r="D696" t="s">
        <v>22</v>
      </c>
      <c r="E696" t="s">
        <v>53</v>
      </c>
      <c r="F696" s="2">
        <v>45939</v>
      </c>
      <c r="G696" s="2">
        <v>45941</v>
      </c>
      <c r="H696" t="s">
        <v>31</v>
      </c>
      <c r="I696" t="s">
        <v>73</v>
      </c>
      <c r="J696" s="2">
        <v>45944</v>
      </c>
      <c r="K696" s="2">
        <v>45944</v>
      </c>
      <c r="L696" t="s">
        <v>26</v>
      </c>
      <c r="M696" t="s">
        <v>57</v>
      </c>
      <c r="O696" t="s">
        <v>28</v>
      </c>
      <c r="Q696">
        <f t="shared" si="40"/>
        <v>1</v>
      </c>
      <c r="R696" s="3">
        <f t="shared" si="41"/>
        <v>5</v>
      </c>
      <c r="S696">
        <f t="shared" si="42"/>
        <v>0</v>
      </c>
      <c r="T696">
        <f t="shared" si="43"/>
        <v>0</v>
      </c>
    </row>
    <row r="697" spans="1:20" x14ac:dyDescent="0.25">
      <c r="A697" t="s">
        <v>763</v>
      </c>
      <c r="B697">
        <v>696</v>
      </c>
      <c r="C697" t="s">
        <v>59</v>
      </c>
      <c r="D697" t="s">
        <v>64</v>
      </c>
      <c r="E697" t="s">
        <v>56</v>
      </c>
      <c r="F697" s="2">
        <v>46012</v>
      </c>
      <c r="G697" s="2">
        <v>46012</v>
      </c>
      <c r="H697" t="s">
        <v>31</v>
      </c>
      <c r="I697" t="s">
        <v>54</v>
      </c>
      <c r="J697" s="2">
        <v>46013</v>
      </c>
      <c r="K697" s="2">
        <v>46013</v>
      </c>
      <c r="L697" t="s">
        <v>26</v>
      </c>
      <c r="M697" t="s">
        <v>57</v>
      </c>
      <c r="O697" t="s">
        <v>37</v>
      </c>
      <c r="Q697">
        <f t="shared" si="40"/>
        <v>1</v>
      </c>
      <c r="R697" s="3">
        <f t="shared" si="41"/>
        <v>1</v>
      </c>
      <c r="S697">
        <f t="shared" si="42"/>
        <v>0</v>
      </c>
      <c r="T697">
        <f t="shared" si="43"/>
        <v>0</v>
      </c>
    </row>
    <row r="698" spans="1:20" x14ac:dyDescent="0.25">
      <c r="A698" t="s">
        <v>764</v>
      </c>
      <c r="B698">
        <v>697</v>
      </c>
      <c r="C698" t="s">
        <v>36</v>
      </c>
      <c r="D698" t="s">
        <v>22</v>
      </c>
      <c r="E698" t="s">
        <v>56</v>
      </c>
      <c r="F698" s="2">
        <v>45941</v>
      </c>
      <c r="G698" s="2">
        <v>45941</v>
      </c>
      <c r="H698" t="s">
        <v>24</v>
      </c>
      <c r="I698" t="s">
        <v>83</v>
      </c>
      <c r="J698" s="2">
        <v>45945</v>
      </c>
      <c r="K698" s="2">
        <v>45947</v>
      </c>
      <c r="L698" t="s">
        <v>26</v>
      </c>
      <c r="M698" t="s">
        <v>32</v>
      </c>
      <c r="N698" t="s">
        <v>67</v>
      </c>
      <c r="O698" t="s">
        <v>69</v>
      </c>
      <c r="Q698">
        <f t="shared" si="40"/>
        <v>0</v>
      </c>
      <c r="R698" s="3">
        <f t="shared" si="41"/>
        <v>4</v>
      </c>
      <c r="S698">
        <f t="shared" si="42"/>
        <v>1</v>
      </c>
      <c r="T698">
        <f t="shared" si="43"/>
        <v>0</v>
      </c>
    </row>
    <row r="699" spans="1:20" x14ac:dyDescent="0.25">
      <c r="A699" t="s">
        <v>765</v>
      </c>
      <c r="B699">
        <v>698</v>
      </c>
      <c r="C699" t="s">
        <v>78</v>
      </c>
      <c r="D699" t="s">
        <v>30</v>
      </c>
      <c r="E699" t="s">
        <v>23</v>
      </c>
      <c r="F699" s="2">
        <v>45997</v>
      </c>
      <c r="G699" s="2">
        <v>45999</v>
      </c>
      <c r="H699" t="s">
        <v>45</v>
      </c>
      <c r="I699" t="s">
        <v>83</v>
      </c>
      <c r="J699" s="2">
        <v>46002</v>
      </c>
      <c r="K699" s="2">
        <v>46002</v>
      </c>
      <c r="L699" t="s">
        <v>26</v>
      </c>
      <c r="M699" t="s">
        <v>57</v>
      </c>
      <c r="O699" t="s">
        <v>28</v>
      </c>
      <c r="Q699">
        <f t="shared" si="40"/>
        <v>1</v>
      </c>
      <c r="R699" s="3">
        <f t="shared" si="41"/>
        <v>5</v>
      </c>
      <c r="S699">
        <f t="shared" si="42"/>
        <v>0</v>
      </c>
      <c r="T699">
        <f t="shared" si="43"/>
        <v>0</v>
      </c>
    </row>
    <row r="700" spans="1:20" x14ac:dyDescent="0.25">
      <c r="A700" t="s">
        <v>766</v>
      </c>
      <c r="B700">
        <v>699</v>
      </c>
      <c r="C700" t="s">
        <v>51</v>
      </c>
      <c r="D700" t="s">
        <v>22</v>
      </c>
      <c r="E700" t="s">
        <v>56</v>
      </c>
      <c r="F700" s="2">
        <v>45801</v>
      </c>
      <c r="G700" s="2">
        <v>45803</v>
      </c>
      <c r="H700" t="s">
        <v>31</v>
      </c>
      <c r="I700" t="s">
        <v>62</v>
      </c>
      <c r="J700" s="2">
        <v>45805</v>
      </c>
      <c r="K700" s="2">
        <v>45805</v>
      </c>
      <c r="L700" t="s">
        <v>26</v>
      </c>
      <c r="M700" t="s">
        <v>27</v>
      </c>
      <c r="O700" t="s">
        <v>28</v>
      </c>
      <c r="P700" t="s">
        <v>76</v>
      </c>
      <c r="Q700">
        <f t="shared" si="40"/>
        <v>1</v>
      </c>
      <c r="R700" s="3">
        <f t="shared" si="41"/>
        <v>4</v>
      </c>
      <c r="S700">
        <f t="shared" si="42"/>
        <v>0</v>
      </c>
      <c r="T700">
        <f t="shared" si="43"/>
        <v>0</v>
      </c>
    </row>
    <row r="701" spans="1:20" x14ac:dyDescent="0.25">
      <c r="A701" t="s">
        <v>767</v>
      </c>
      <c r="B701">
        <v>700</v>
      </c>
      <c r="C701" t="s">
        <v>36</v>
      </c>
      <c r="D701" t="s">
        <v>39</v>
      </c>
      <c r="E701" t="s">
        <v>53</v>
      </c>
      <c r="F701" s="2">
        <v>45802</v>
      </c>
      <c r="G701" s="2">
        <v>45802</v>
      </c>
      <c r="H701" t="s">
        <v>24</v>
      </c>
      <c r="I701" t="s">
        <v>42</v>
      </c>
      <c r="J701" s="2">
        <v>45804</v>
      </c>
      <c r="K701" s="2">
        <v>45804</v>
      </c>
      <c r="L701" t="s">
        <v>26</v>
      </c>
      <c r="M701" t="s">
        <v>27</v>
      </c>
      <c r="O701" t="s">
        <v>28</v>
      </c>
      <c r="Q701">
        <f t="shared" si="40"/>
        <v>1</v>
      </c>
      <c r="R701" s="3">
        <f t="shared" si="41"/>
        <v>2</v>
      </c>
      <c r="S701">
        <f t="shared" si="42"/>
        <v>0</v>
      </c>
      <c r="T701">
        <f t="shared" si="43"/>
        <v>0</v>
      </c>
    </row>
    <row r="702" spans="1:20" x14ac:dyDescent="0.25">
      <c r="A702" t="s">
        <v>768</v>
      </c>
      <c r="B702">
        <v>701</v>
      </c>
      <c r="C702" t="s">
        <v>36</v>
      </c>
      <c r="D702" t="s">
        <v>52</v>
      </c>
      <c r="E702" t="s">
        <v>60</v>
      </c>
      <c r="F702" s="2">
        <v>45668</v>
      </c>
      <c r="G702" s="2">
        <v>45668</v>
      </c>
      <c r="H702" t="s">
        <v>41</v>
      </c>
      <c r="I702" t="s">
        <v>25</v>
      </c>
      <c r="J702" s="2">
        <v>45672</v>
      </c>
      <c r="K702" s="2">
        <v>45672</v>
      </c>
      <c r="L702" t="s">
        <v>26</v>
      </c>
      <c r="M702" t="s">
        <v>27</v>
      </c>
      <c r="O702" t="s">
        <v>34</v>
      </c>
      <c r="P702" t="s">
        <v>93</v>
      </c>
      <c r="Q702">
        <f t="shared" si="40"/>
        <v>1</v>
      </c>
      <c r="R702" s="3">
        <f t="shared" si="41"/>
        <v>4</v>
      </c>
      <c r="S702">
        <f t="shared" si="42"/>
        <v>0</v>
      </c>
      <c r="T702">
        <f t="shared" si="43"/>
        <v>0</v>
      </c>
    </row>
    <row r="703" spans="1:20" x14ac:dyDescent="0.25">
      <c r="A703" t="s">
        <v>769</v>
      </c>
      <c r="B703">
        <v>702</v>
      </c>
      <c r="C703" t="s">
        <v>59</v>
      </c>
      <c r="D703" t="s">
        <v>52</v>
      </c>
      <c r="E703" t="s">
        <v>40</v>
      </c>
      <c r="F703" s="2">
        <v>45970</v>
      </c>
      <c r="G703" s="2">
        <v>45971</v>
      </c>
      <c r="H703" t="s">
        <v>41</v>
      </c>
      <c r="I703" t="s">
        <v>62</v>
      </c>
      <c r="J703" s="2">
        <v>45975</v>
      </c>
      <c r="K703" s="2">
        <v>45975</v>
      </c>
      <c r="L703" t="s">
        <v>26</v>
      </c>
      <c r="M703" t="s">
        <v>57</v>
      </c>
      <c r="O703" t="s">
        <v>28</v>
      </c>
      <c r="P703" t="s">
        <v>88</v>
      </c>
      <c r="Q703">
        <f t="shared" si="40"/>
        <v>1</v>
      </c>
      <c r="R703" s="3">
        <f t="shared" si="41"/>
        <v>5</v>
      </c>
      <c r="S703">
        <f t="shared" si="42"/>
        <v>0</v>
      </c>
      <c r="T703">
        <f t="shared" si="43"/>
        <v>0</v>
      </c>
    </row>
    <row r="704" spans="1:20" x14ac:dyDescent="0.25">
      <c r="A704" t="s">
        <v>770</v>
      </c>
      <c r="B704">
        <v>703</v>
      </c>
      <c r="C704" t="s">
        <v>21</v>
      </c>
      <c r="D704" t="s">
        <v>22</v>
      </c>
      <c r="E704" t="s">
        <v>56</v>
      </c>
      <c r="F704" s="2">
        <v>45731</v>
      </c>
      <c r="G704" s="2">
        <v>45732</v>
      </c>
      <c r="H704" t="s">
        <v>45</v>
      </c>
      <c r="I704" t="s">
        <v>62</v>
      </c>
      <c r="J704" s="2">
        <v>45735</v>
      </c>
      <c r="K704" s="2">
        <v>45735</v>
      </c>
      <c r="L704" t="s">
        <v>26</v>
      </c>
      <c r="M704" t="s">
        <v>57</v>
      </c>
      <c r="O704" t="s">
        <v>69</v>
      </c>
      <c r="Q704">
        <f t="shared" si="40"/>
        <v>1</v>
      </c>
      <c r="R704" s="3">
        <f t="shared" si="41"/>
        <v>4</v>
      </c>
      <c r="S704">
        <f t="shared" si="42"/>
        <v>0</v>
      </c>
      <c r="T704">
        <f t="shared" si="43"/>
        <v>0</v>
      </c>
    </row>
    <row r="705" spans="1:20" x14ac:dyDescent="0.25">
      <c r="A705" t="s">
        <v>771</v>
      </c>
      <c r="B705">
        <v>704</v>
      </c>
      <c r="C705" t="s">
        <v>78</v>
      </c>
      <c r="D705" t="s">
        <v>30</v>
      </c>
      <c r="E705" t="s">
        <v>60</v>
      </c>
      <c r="F705" s="2">
        <v>45880</v>
      </c>
      <c r="G705" s="2">
        <v>45881</v>
      </c>
      <c r="H705" t="s">
        <v>41</v>
      </c>
      <c r="I705" t="s">
        <v>73</v>
      </c>
      <c r="J705" s="2">
        <v>45885</v>
      </c>
      <c r="K705" s="2">
        <v>45885</v>
      </c>
      <c r="L705" t="s">
        <v>46</v>
      </c>
      <c r="M705" t="s">
        <v>27</v>
      </c>
      <c r="O705" t="s">
        <v>37</v>
      </c>
      <c r="P705" t="s">
        <v>93</v>
      </c>
      <c r="Q705">
        <f t="shared" si="40"/>
        <v>1</v>
      </c>
      <c r="R705" s="3">
        <f t="shared" si="41"/>
        <v>5</v>
      </c>
      <c r="S705">
        <f t="shared" si="42"/>
        <v>0</v>
      </c>
      <c r="T705">
        <f t="shared" si="43"/>
        <v>1</v>
      </c>
    </row>
    <row r="706" spans="1:20" x14ac:dyDescent="0.25">
      <c r="A706" t="s">
        <v>772</v>
      </c>
      <c r="B706">
        <v>705</v>
      </c>
      <c r="C706" t="s">
        <v>36</v>
      </c>
      <c r="D706" t="s">
        <v>52</v>
      </c>
      <c r="E706" t="s">
        <v>40</v>
      </c>
      <c r="F706" s="2">
        <v>45881</v>
      </c>
      <c r="G706" s="2">
        <v>45882</v>
      </c>
      <c r="H706" t="s">
        <v>45</v>
      </c>
      <c r="I706" t="s">
        <v>85</v>
      </c>
      <c r="J706" s="2">
        <v>45885</v>
      </c>
      <c r="K706" s="2">
        <v>45885</v>
      </c>
      <c r="L706" t="s">
        <v>26</v>
      </c>
      <c r="M706" t="s">
        <v>57</v>
      </c>
      <c r="O706" t="s">
        <v>69</v>
      </c>
      <c r="P706" t="s">
        <v>93</v>
      </c>
      <c r="Q706">
        <f t="shared" si="40"/>
        <v>1</v>
      </c>
      <c r="R706" s="3">
        <f t="shared" si="41"/>
        <v>4</v>
      </c>
      <c r="S706">
        <f t="shared" si="42"/>
        <v>0</v>
      </c>
      <c r="T706">
        <f t="shared" si="43"/>
        <v>0</v>
      </c>
    </row>
    <row r="707" spans="1:20" x14ac:dyDescent="0.25">
      <c r="A707" t="s">
        <v>773</v>
      </c>
      <c r="B707">
        <v>706</v>
      </c>
      <c r="C707" t="s">
        <v>21</v>
      </c>
      <c r="D707" t="s">
        <v>39</v>
      </c>
      <c r="E707" t="s">
        <v>56</v>
      </c>
      <c r="F707" s="2">
        <v>45981</v>
      </c>
      <c r="G707" s="2">
        <v>45981</v>
      </c>
      <c r="H707" t="s">
        <v>41</v>
      </c>
      <c r="I707" t="s">
        <v>25</v>
      </c>
      <c r="J707" s="2">
        <v>45983</v>
      </c>
      <c r="K707" s="2">
        <v>45983</v>
      </c>
      <c r="L707" t="s">
        <v>26</v>
      </c>
      <c r="M707" t="s">
        <v>57</v>
      </c>
      <c r="O707" t="s">
        <v>43</v>
      </c>
      <c r="Q707">
        <f t="shared" ref="Q707:Q770" si="44">IF(K707&lt;=J707,1,0)</f>
        <v>1</v>
      </c>
      <c r="R707" s="3">
        <f t="shared" ref="R707:R770" si="45">(J707-F707)</f>
        <v>2</v>
      </c>
      <c r="S707">
        <f t="shared" ref="S707:S770" si="46">IF(M707="Delayed",1,0)</f>
        <v>0</v>
      </c>
      <c r="T707">
        <f t="shared" ref="T707:T770" si="47">IF(L707="n",1,0)</f>
        <v>0</v>
      </c>
    </row>
    <row r="708" spans="1:20" x14ac:dyDescent="0.25">
      <c r="A708" t="s">
        <v>774</v>
      </c>
      <c r="B708">
        <v>707</v>
      </c>
      <c r="C708" t="s">
        <v>51</v>
      </c>
      <c r="D708" t="s">
        <v>64</v>
      </c>
      <c r="E708" t="s">
        <v>40</v>
      </c>
      <c r="F708" s="2">
        <v>45832</v>
      </c>
      <c r="G708" s="2">
        <v>45832</v>
      </c>
      <c r="H708" t="s">
        <v>31</v>
      </c>
      <c r="I708" t="s">
        <v>73</v>
      </c>
      <c r="J708" s="2">
        <v>45833</v>
      </c>
      <c r="K708" s="2">
        <v>45833</v>
      </c>
      <c r="L708" t="s">
        <v>26</v>
      </c>
      <c r="M708" t="s">
        <v>27</v>
      </c>
      <c r="O708" t="s">
        <v>37</v>
      </c>
      <c r="Q708">
        <f t="shared" si="44"/>
        <v>1</v>
      </c>
      <c r="R708" s="3">
        <f t="shared" si="45"/>
        <v>1</v>
      </c>
      <c r="S708">
        <f t="shared" si="46"/>
        <v>0</v>
      </c>
      <c r="T708">
        <f t="shared" si="47"/>
        <v>0</v>
      </c>
    </row>
    <row r="709" spans="1:20" x14ac:dyDescent="0.25">
      <c r="A709" t="s">
        <v>775</v>
      </c>
      <c r="B709">
        <v>708</v>
      </c>
      <c r="C709" t="s">
        <v>78</v>
      </c>
      <c r="D709" t="s">
        <v>30</v>
      </c>
      <c r="E709" t="s">
        <v>53</v>
      </c>
      <c r="F709" s="2">
        <v>45737</v>
      </c>
      <c r="G709" s="2">
        <v>45739</v>
      </c>
      <c r="H709" t="s">
        <v>45</v>
      </c>
      <c r="I709" t="s">
        <v>25</v>
      </c>
      <c r="J709" s="2">
        <v>45740</v>
      </c>
      <c r="K709" s="2">
        <v>45740</v>
      </c>
      <c r="L709" t="s">
        <v>26</v>
      </c>
      <c r="M709" t="s">
        <v>57</v>
      </c>
      <c r="O709" t="s">
        <v>28</v>
      </c>
      <c r="Q709">
        <f t="shared" si="44"/>
        <v>1</v>
      </c>
      <c r="R709" s="3">
        <f t="shared" si="45"/>
        <v>3</v>
      </c>
      <c r="S709">
        <f t="shared" si="46"/>
        <v>0</v>
      </c>
      <c r="T709">
        <f t="shared" si="47"/>
        <v>0</v>
      </c>
    </row>
    <row r="710" spans="1:20" x14ac:dyDescent="0.25">
      <c r="A710" t="s">
        <v>776</v>
      </c>
      <c r="B710">
        <v>709</v>
      </c>
      <c r="C710" t="s">
        <v>21</v>
      </c>
      <c r="D710" t="s">
        <v>52</v>
      </c>
      <c r="E710" t="s">
        <v>53</v>
      </c>
      <c r="F710" s="2">
        <v>45835</v>
      </c>
      <c r="G710" s="2">
        <v>45835</v>
      </c>
      <c r="H710" t="s">
        <v>61</v>
      </c>
      <c r="I710" t="s">
        <v>54</v>
      </c>
      <c r="J710" s="2">
        <v>45839</v>
      </c>
      <c r="K710" s="2">
        <v>45839</v>
      </c>
      <c r="L710" t="s">
        <v>26</v>
      </c>
      <c r="M710" t="s">
        <v>27</v>
      </c>
      <c r="O710" t="s">
        <v>81</v>
      </c>
      <c r="P710" t="s">
        <v>88</v>
      </c>
      <c r="Q710">
        <f t="shared" si="44"/>
        <v>1</v>
      </c>
      <c r="R710" s="3">
        <f t="shared" si="45"/>
        <v>4</v>
      </c>
      <c r="S710">
        <f t="shared" si="46"/>
        <v>0</v>
      </c>
      <c r="T710">
        <f t="shared" si="47"/>
        <v>0</v>
      </c>
    </row>
    <row r="711" spans="1:20" x14ac:dyDescent="0.25">
      <c r="A711" t="s">
        <v>777</v>
      </c>
      <c r="B711">
        <v>710</v>
      </c>
      <c r="C711" t="s">
        <v>36</v>
      </c>
      <c r="D711" t="s">
        <v>22</v>
      </c>
      <c r="E711" t="s">
        <v>53</v>
      </c>
      <c r="F711" s="2">
        <v>45682</v>
      </c>
      <c r="G711" s="2">
        <v>45682</v>
      </c>
      <c r="H711" t="s">
        <v>45</v>
      </c>
      <c r="I711" t="s">
        <v>85</v>
      </c>
      <c r="J711" s="2">
        <v>45684</v>
      </c>
      <c r="K711" s="2">
        <v>45684</v>
      </c>
      <c r="L711" t="s">
        <v>26</v>
      </c>
      <c r="M711" t="s">
        <v>57</v>
      </c>
      <c r="O711" t="s">
        <v>69</v>
      </c>
      <c r="P711" t="s">
        <v>88</v>
      </c>
      <c r="Q711">
        <f t="shared" si="44"/>
        <v>1</v>
      </c>
      <c r="R711" s="3">
        <f t="shared" si="45"/>
        <v>2</v>
      </c>
      <c r="S711">
        <f t="shared" si="46"/>
        <v>0</v>
      </c>
      <c r="T711">
        <f t="shared" si="47"/>
        <v>0</v>
      </c>
    </row>
    <row r="712" spans="1:20" x14ac:dyDescent="0.25">
      <c r="A712" t="s">
        <v>778</v>
      </c>
      <c r="B712">
        <v>711</v>
      </c>
      <c r="C712" t="s">
        <v>78</v>
      </c>
      <c r="D712" t="s">
        <v>64</v>
      </c>
      <c r="E712" t="s">
        <v>53</v>
      </c>
      <c r="F712" s="2">
        <v>45800</v>
      </c>
      <c r="G712" s="2">
        <v>45802</v>
      </c>
      <c r="H712" t="s">
        <v>24</v>
      </c>
      <c r="I712" t="s">
        <v>25</v>
      </c>
      <c r="J712" s="2">
        <v>45803</v>
      </c>
      <c r="K712" s="2">
        <v>45803</v>
      </c>
      <c r="L712" t="s">
        <v>26</v>
      </c>
      <c r="M712" t="s">
        <v>27</v>
      </c>
      <c r="O712" t="s">
        <v>37</v>
      </c>
      <c r="Q712">
        <f t="shared" si="44"/>
        <v>1</v>
      </c>
      <c r="R712" s="3">
        <f t="shared" si="45"/>
        <v>3</v>
      </c>
      <c r="S712">
        <f t="shared" si="46"/>
        <v>0</v>
      </c>
      <c r="T712">
        <f t="shared" si="47"/>
        <v>0</v>
      </c>
    </row>
    <row r="713" spans="1:20" x14ac:dyDescent="0.25">
      <c r="A713" t="s">
        <v>779</v>
      </c>
      <c r="B713">
        <v>712</v>
      </c>
      <c r="C713" t="s">
        <v>51</v>
      </c>
      <c r="D713" t="s">
        <v>30</v>
      </c>
      <c r="E713" t="s">
        <v>23</v>
      </c>
      <c r="F713" s="2">
        <v>45927</v>
      </c>
      <c r="G713" s="2">
        <v>45927</v>
      </c>
      <c r="H713" t="s">
        <v>31</v>
      </c>
      <c r="I713" t="s">
        <v>54</v>
      </c>
      <c r="J713" s="2">
        <v>45933</v>
      </c>
      <c r="K713" s="2">
        <v>45933</v>
      </c>
      <c r="L713" t="s">
        <v>46</v>
      </c>
      <c r="M713" t="s">
        <v>57</v>
      </c>
      <c r="O713" t="s">
        <v>69</v>
      </c>
      <c r="Q713">
        <f t="shared" si="44"/>
        <v>1</v>
      </c>
      <c r="R713" s="3">
        <f t="shared" si="45"/>
        <v>6</v>
      </c>
      <c r="S713">
        <f t="shared" si="46"/>
        <v>0</v>
      </c>
      <c r="T713">
        <f t="shared" si="47"/>
        <v>1</v>
      </c>
    </row>
    <row r="714" spans="1:20" x14ac:dyDescent="0.25">
      <c r="A714" t="s">
        <v>780</v>
      </c>
      <c r="B714">
        <v>713</v>
      </c>
      <c r="C714" t="s">
        <v>51</v>
      </c>
      <c r="D714" t="s">
        <v>52</v>
      </c>
      <c r="E714" t="s">
        <v>53</v>
      </c>
      <c r="F714" s="2">
        <v>45658</v>
      </c>
      <c r="G714" s="2">
        <v>45660</v>
      </c>
      <c r="H714" t="s">
        <v>61</v>
      </c>
      <c r="I714" t="s">
        <v>42</v>
      </c>
      <c r="J714" s="2">
        <v>45662</v>
      </c>
      <c r="K714" s="2">
        <v>45663</v>
      </c>
      <c r="L714" t="s">
        <v>26</v>
      </c>
      <c r="M714" t="s">
        <v>32</v>
      </c>
      <c r="N714" t="s">
        <v>49</v>
      </c>
      <c r="O714" t="s">
        <v>28</v>
      </c>
      <c r="Q714">
        <f t="shared" si="44"/>
        <v>0</v>
      </c>
      <c r="R714" s="3">
        <f t="shared" si="45"/>
        <v>4</v>
      </c>
      <c r="S714">
        <f t="shared" si="46"/>
        <v>1</v>
      </c>
      <c r="T714">
        <f t="shared" si="47"/>
        <v>0</v>
      </c>
    </row>
    <row r="715" spans="1:20" x14ac:dyDescent="0.25">
      <c r="A715" t="s">
        <v>781</v>
      </c>
      <c r="B715">
        <v>714</v>
      </c>
      <c r="C715" t="s">
        <v>59</v>
      </c>
      <c r="D715" t="s">
        <v>30</v>
      </c>
      <c r="E715" t="s">
        <v>53</v>
      </c>
      <c r="F715" s="2">
        <v>46013</v>
      </c>
      <c r="G715" s="2">
        <v>46013</v>
      </c>
      <c r="H715" t="s">
        <v>24</v>
      </c>
      <c r="I715" t="s">
        <v>85</v>
      </c>
      <c r="J715" s="2">
        <v>46014</v>
      </c>
      <c r="K715" s="2">
        <v>46015</v>
      </c>
      <c r="L715" t="s">
        <v>26</v>
      </c>
      <c r="M715" t="s">
        <v>57</v>
      </c>
      <c r="O715" t="s">
        <v>37</v>
      </c>
      <c r="Q715">
        <f t="shared" si="44"/>
        <v>0</v>
      </c>
      <c r="R715" s="3">
        <f t="shared" si="45"/>
        <v>1</v>
      </c>
      <c r="S715">
        <f t="shared" si="46"/>
        <v>0</v>
      </c>
      <c r="T715">
        <f t="shared" si="47"/>
        <v>0</v>
      </c>
    </row>
    <row r="716" spans="1:20" x14ac:dyDescent="0.25">
      <c r="A716" t="s">
        <v>782</v>
      </c>
      <c r="B716">
        <v>715</v>
      </c>
      <c r="C716" t="s">
        <v>78</v>
      </c>
      <c r="D716" t="s">
        <v>52</v>
      </c>
      <c r="E716" t="s">
        <v>60</v>
      </c>
      <c r="F716" s="2">
        <v>45874</v>
      </c>
      <c r="G716" s="2">
        <v>45874</v>
      </c>
      <c r="H716" t="s">
        <v>45</v>
      </c>
      <c r="I716" t="s">
        <v>62</v>
      </c>
      <c r="J716" s="2">
        <v>45877</v>
      </c>
      <c r="K716" s="2">
        <v>45877</v>
      </c>
      <c r="L716" t="s">
        <v>46</v>
      </c>
      <c r="M716" t="s">
        <v>27</v>
      </c>
      <c r="O716" t="s">
        <v>34</v>
      </c>
      <c r="P716" t="s">
        <v>76</v>
      </c>
      <c r="Q716">
        <f t="shared" si="44"/>
        <v>1</v>
      </c>
      <c r="R716" s="3">
        <f t="shared" si="45"/>
        <v>3</v>
      </c>
      <c r="S716">
        <f t="shared" si="46"/>
        <v>0</v>
      </c>
      <c r="T716">
        <f t="shared" si="47"/>
        <v>1</v>
      </c>
    </row>
    <row r="717" spans="1:20" x14ac:dyDescent="0.25">
      <c r="A717" t="s">
        <v>783</v>
      </c>
      <c r="B717">
        <v>716</v>
      </c>
      <c r="C717" t="s">
        <v>21</v>
      </c>
      <c r="D717" t="s">
        <v>30</v>
      </c>
      <c r="E717" t="s">
        <v>56</v>
      </c>
      <c r="F717" s="2">
        <v>45802</v>
      </c>
      <c r="G717" s="2">
        <v>45804</v>
      </c>
      <c r="H717" t="s">
        <v>41</v>
      </c>
      <c r="I717" t="s">
        <v>85</v>
      </c>
      <c r="J717" s="2">
        <v>45807</v>
      </c>
      <c r="K717" s="2">
        <v>45807</v>
      </c>
      <c r="L717" t="s">
        <v>26</v>
      </c>
      <c r="M717" t="s">
        <v>57</v>
      </c>
      <c r="O717" t="s">
        <v>43</v>
      </c>
      <c r="Q717">
        <f t="shared" si="44"/>
        <v>1</v>
      </c>
      <c r="R717" s="3">
        <f t="shared" si="45"/>
        <v>5</v>
      </c>
      <c r="S717">
        <f t="shared" si="46"/>
        <v>0</v>
      </c>
      <c r="T717">
        <f t="shared" si="47"/>
        <v>0</v>
      </c>
    </row>
    <row r="718" spans="1:20" x14ac:dyDescent="0.25">
      <c r="A718" t="s">
        <v>784</v>
      </c>
      <c r="B718">
        <v>717</v>
      </c>
      <c r="C718" t="s">
        <v>59</v>
      </c>
      <c r="D718" t="s">
        <v>52</v>
      </c>
      <c r="E718" t="s">
        <v>53</v>
      </c>
      <c r="F718" s="2">
        <v>45968</v>
      </c>
      <c r="G718" s="2">
        <v>45968</v>
      </c>
      <c r="H718" t="s">
        <v>45</v>
      </c>
      <c r="I718" t="s">
        <v>25</v>
      </c>
      <c r="J718" s="2">
        <v>45970</v>
      </c>
      <c r="K718" s="2">
        <v>45970</v>
      </c>
      <c r="L718" t="s">
        <v>26</v>
      </c>
      <c r="M718" t="s">
        <v>27</v>
      </c>
      <c r="O718" t="s">
        <v>69</v>
      </c>
      <c r="Q718">
        <f t="shared" si="44"/>
        <v>1</v>
      </c>
      <c r="R718" s="3">
        <f t="shared" si="45"/>
        <v>2</v>
      </c>
      <c r="S718">
        <f t="shared" si="46"/>
        <v>0</v>
      </c>
      <c r="T718">
        <f t="shared" si="47"/>
        <v>0</v>
      </c>
    </row>
    <row r="719" spans="1:20" x14ac:dyDescent="0.25">
      <c r="A719" t="s">
        <v>785</v>
      </c>
      <c r="B719">
        <v>718</v>
      </c>
      <c r="C719" t="s">
        <v>78</v>
      </c>
      <c r="D719" t="s">
        <v>22</v>
      </c>
      <c r="E719" t="s">
        <v>53</v>
      </c>
      <c r="F719" s="2">
        <v>45737</v>
      </c>
      <c r="G719" s="2">
        <v>45739</v>
      </c>
      <c r="H719" t="s">
        <v>24</v>
      </c>
      <c r="I719" t="s">
        <v>85</v>
      </c>
      <c r="J719" s="2">
        <v>45742</v>
      </c>
      <c r="K719" s="2">
        <v>45742</v>
      </c>
      <c r="L719" t="s">
        <v>26</v>
      </c>
      <c r="M719" t="s">
        <v>57</v>
      </c>
      <c r="O719" t="s">
        <v>43</v>
      </c>
      <c r="Q719">
        <f t="shared" si="44"/>
        <v>1</v>
      </c>
      <c r="R719" s="3">
        <f t="shared" si="45"/>
        <v>5</v>
      </c>
      <c r="S719">
        <f t="shared" si="46"/>
        <v>0</v>
      </c>
      <c r="T719">
        <f t="shared" si="47"/>
        <v>0</v>
      </c>
    </row>
    <row r="720" spans="1:20" x14ac:dyDescent="0.25">
      <c r="A720" t="s">
        <v>786</v>
      </c>
      <c r="B720">
        <v>719</v>
      </c>
      <c r="C720" t="s">
        <v>59</v>
      </c>
      <c r="D720" t="s">
        <v>22</v>
      </c>
      <c r="E720" t="s">
        <v>56</v>
      </c>
      <c r="F720" s="2">
        <v>45793</v>
      </c>
      <c r="G720" s="2">
        <v>45793</v>
      </c>
      <c r="H720" t="s">
        <v>31</v>
      </c>
      <c r="I720" t="s">
        <v>83</v>
      </c>
      <c r="J720" s="2">
        <v>45797</v>
      </c>
      <c r="K720" s="2">
        <v>45797</v>
      </c>
      <c r="L720" t="s">
        <v>26</v>
      </c>
      <c r="M720" t="s">
        <v>57</v>
      </c>
      <c r="O720" t="s">
        <v>81</v>
      </c>
      <c r="Q720">
        <f t="shared" si="44"/>
        <v>1</v>
      </c>
      <c r="R720" s="3">
        <f t="shared" si="45"/>
        <v>4</v>
      </c>
      <c r="S720">
        <f t="shared" si="46"/>
        <v>0</v>
      </c>
      <c r="T720">
        <f t="shared" si="47"/>
        <v>0</v>
      </c>
    </row>
    <row r="721" spans="1:20" x14ac:dyDescent="0.25">
      <c r="A721" t="s">
        <v>787</v>
      </c>
      <c r="B721">
        <v>720</v>
      </c>
      <c r="C721" t="s">
        <v>21</v>
      </c>
      <c r="D721" t="s">
        <v>39</v>
      </c>
      <c r="E721" t="s">
        <v>53</v>
      </c>
      <c r="F721" s="2">
        <v>46000</v>
      </c>
      <c r="G721" s="2">
        <v>46001</v>
      </c>
      <c r="H721" t="s">
        <v>45</v>
      </c>
      <c r="I721" t="s">
        <v>25</v>
      </c>
      <c r="J721" s="2">
        <v>46002</v>
      </c>
      <c r="K721" s="2">
        <v>46003</v>
      </c>
      <c r="L721" t="s">
        <v>26</v>
      </c>
      <c r="M721" t="s">
        <v>32</v>
      </c>
      <c r="N721" t="s">
        <v>75</v>
      </c>
      <c r="O721" t="s">
        <v>28</v>
      </c>
      <c r="Q721">
        <f t="shared" si="44"/>
        <v>0</v>
      </c>
      <c r="R721" s="3">
        <f t="shared" si="45"/>
        <v>2</v>
      </c>
      <c r="S721">
        <f t="shared" si="46"/>
        <v>1</v>
      </c>
      <c r="T721">
        <f t="shared" si="47"/>
        <v>0</v>
      </c>
    </row>
    <row r="722" spans="1:20" x14ac:dyDescent="0.25">
      <c r="A722" t="s">
        <v>788</v>
      </c>
      <c r="B722">
        <v>721</v>
      </c>
      <c r="C722" t="s">
        <v>59</v>
      </c>
      <c r="D722" t="s">
        <v>39</v>
      </c>
      <c r="E722" t="s">
        <v>53</v>
      </c>
      <c r="F722" s="2">
        <v>45751</v>
      </c>
      <c r="G722" s="2">
        <v>45753</v>
      </c>
      <c r="H722" t="s">
        <v>41</v>
      </c>
      <c r="I722" t="s">
        <v>25</v>
      </c>
      <c r="J722" s="2">
        <v>45754</v>
      </c>
      <c r="K722" s="2">
        <v>45754</v>
      </c>
      <c r="L722" t="s">
        <v>26</v>
      </c>
      <c r="M722" t="s">
        <v>27</v>
      </c>
      <c r="O722" t="s">
        <v>28</v>
      </c>
      <c r="P722" t="s">
        <v>76</v>
      </c>
      <c r="Q722">
        <f t="shared" si="44"/>
        <v>1</v>
      </c>
      <c r="R722" s="3">
        <f t="shared" si="45"/>
        <v>3</v>
      </c>
      <c r="S722">
        <f t="shared" si="46"/>
        <v>0</v>
      </c>
      <c r="T722">
        <f t="shared" si="47"/>
        <v>0</v>
      </c>
    </row>
    <row r="723" spans="1:20" x14ac:dyDescent="0.25">
      <c r="A723" t="s">
        <v>789</v>
      </c>
      <c r="B723">
        <v>722</v>
      </c>
      <c r="C723" t="s">
        <v>21</v>
      </c>
      <c r="D723" t="s">
        <v>39</v>
      </c>
      <c r="E723" t="s">
        <v>40</v>
      </c>
      <c r="F723" s="2">
        <v>45958</v>
      </c>
      <c r="G723" s="2">
        <v>45958</v>
      </c>
      <c r="H723" t="s">
        <v>45</v>
      </c>
      <c r="I723" t="s">
        <v>83</v>
      </c>
      <c r="J723" s="2">
        <v>45961</v>
      </c>
      <c r="K723" s="2">
        <v>45961</v>
      </c>
      <c r="L723" t="s">
        <v>26</v>
      </c>
      <c r="M723" t="s">
        <v>57</v>
      </c>
      <c r="O723" t="s">
        <v>43</v>
      </c>
      <c r="Q723">
        <f t="shared" si="44"/>
        <v>1</v>
      </c>
      <c r="R723" s="3">
        <f t="shared" si="45"/>
        <v>3</v>
      </c>
      <c r="S723">
        <f t="shared" si="46"/>
        <v>0</v>
      </c>
      <c r="T723">
        <f t="shared" si="47"/>
        <v>0</v>
      </c>
    </row>
    <row r="724" spans="1:20" x14ac:dyDescent="0.25">
      <c r="A724" t="s">
        <v>790</v>
      </c>
      <c r="B724">
        <v>723</v>
      </c>
      <c r="C724" t="s">
        <v>21</v>
      </c>
      <c r="D724" t="s">
        <v>22</v>
      </c>
      <c r="E724" t="s">
        <v>23</v>
      </c>
      <c r="F724" s="2">
        <v>45694</v>
      </c>
      <c r="G724" s="2">
        <v>45696</v>
      </c>
      <c r="H724" t="s">
        <v>31</v>
      </c>
      <c r="I724" t="s">
        <v>85</v>
      </c>
      <c r="J724" s="2">
        <v>45699</v>
      </c>
      <c r="K724" s="2">
        <v>45700</v>
      </c>
      <c r="L724" t="s">
        <v>46</v>
      </c>
      <c r="M724" t="s">
        <v>27</v>
      </c>
      <c r="O724" t="s">
        <v>43</v>
      </c>
      <c r="P724" t="s">
        <v>93</v>
      </c>
      <c r="Q724">
        <f t="shared" si="44"/>
        <v>0</v>
      </c>
      <c r="R724" s="3">
        <f t="shared" si="45"/>
        <v>5</v>
      </c>
      <c r="S724">
        <f t="shared" si="46"/>
        <v>0</v>
      </c>
      <c r="T724">
        <f t="shared" si="47"/>
        <v>1</v>
      </c>
    </row>
    <row r="725" spans="1:20" x14ac:dyDescent="0.25">
      <c r="A725" t="s">
        <v>791</v>
      </c>
      <c r="B725">
        <v>724</v>
      </c>
      <c r="C725" t="s">
        <v>36</v>
      </c>
      <c r="D725" t="s">
        <v>52</v>
      </c>
      <c r="E725" t="s">
        <v>23</v>
      </c>
      <c r="F725" s="2">
        <v>45895</v>
      </c>
      <c r="G725" s="2">
        <v>45895</v>
      </c>
      <c r="H725" t="s">
        <v>61</v>
      </c>
      <c r="I725" t="s">
        <v>73</v>
      </c>
      <c r="J725" s="2">
        <v>45898</v>
      </c>
      <c r="K725" s="2">
        <v>45898</v>
      </c>
      <c r="L725" t="s">
        <v>26</v>
      </c>
      <c r="M725" t="s">
        <v>27</v>
      </c>
      <c r="O725" t="s">
        <v>37</v>
      </c>
      <c r="Q725">
        <f t="shared" si="44"/>
        <v>1</v>
      </c>
      <c r="R725" s="3">
        <f t="shared" si="45"/>
        <v>3</v>
      </c>
      <c r="S725">
        <f t="shared" si="46"/>
        <v>0</v>
      </c>
      <c r="T725">
        <f t="shared" si="47"/>
        <v>0</v>
      </c>
    </row>
    <row r="726" spans="1:20" x14ac:dyDescent="0.25">
      <c r="A726" t="s">
        <v>792</v>
      </c>
      <c r="B726">
        <v>725</v>
      </c>
      <c r="C726" t="s">
        <v>59</v>
      </c>
      <c r="D726" t="s">
        <v>39</v>
      </c>
      <c r="E726" t="s">
        <v>23</v>
      </c>
      <c r="F726" s="2">
        <v>45911</v>
      </c>
      <c r="G726" s="2">
        <v>45912</v>
      </c>
      <c r="H726" t="s">
        <v>24</v>
      </c>
      <c r="I726" t="s">
        <v>83</v>
      </c>
      <c r="J726" s="2">
        <v>45916</v>
      </c>
      <c r="K726" s="2">
        <v>45916</v>
      </c>
      <c r="L726" t="s">
        <v>26</v>
      </c>
      <c r="M726" t="s">
        <v>27</v>
      </c>
      <c r="O726" t="s">
        <v>28</v>
      </c>
      <c r="Q726">
        <f t="shared" si="44"/>
        <v>1</v>
      </c>
      <c r="R726" s="3">
        <f t="shared" si="45"/>
        <v>5</v>
      </c>
      <c r="S726">
        <f t="shared" si="46"/>
        <v>0</v>
      </c>
      <c r="T726">
        <f t="shared" si="47"/>
        <v>0</v>
      </c>
    </row>
    <row r="727" spans="1:20" x14ac:dyDescent="0.25">
      <c r="A727" t="s">
        <v>793</v>
      </c>
      <c r="B727">
        <v>726</v>
      </c>
      <c r="C727" t="s">
        <v>51</v>
      </c>
      <c r="D727" t="s">
        <v>39</v>
      </c>
      <c r="E727" t="s">
        <v>53</v>
      </c>
      <c r="F727" s="2">
        <v>45769</v>
      </c>
      <c r="G727" s="2">
        <v>45769</v>
      </c>
      <c r="H727" t="s">
        <v>24</v>
      </c>
      <c r="I727" t="s">
        <v>42</v>
      </c>
      <c r="J727" s="2">
        <v>45775</v>
      </c>
      <c r="K727" s="2">
        <v>45775</v>
      </c>
      <c r="L727" t="s">
        <v>26</v>
      </c>
      <c r="M727" t="s">
        <v>57</v>
      </c>
      <c r="O727" t="s">
        <v>81</v>
      </c>
      <c r="Q727">
        <f t="shared" si="44"/>
        <v>1</v>
      </c>
      <c r="R727" s="3">
        <f t="shared" si="45"/>
        <v>6</v>
      </c>
      <c r="S727">
        <f t="shared" si="46"/>
        <v>0</v>
      </c>
      <c r="T727">
        <f t="shared" si="47"/>
        <v>0</v>
      </c>
    </row>
    <row r="728" spans="1:20" x14ac:dyDescent="0.25">
      <c r="A728" t="s">
        <v>794</v>
      </c>
      <c r="B728">
        <v>727</v>
      </c>
      <c r="C728" t="s">
        <v>78</v>
      </c>
      <c r="D728" t="s">
        <v>52</v>
      </c>
      <c r="E728" t="s">
        <v>23</v>
      </c>
      <c r="F728" s="2">
        <v>45799</v>
      </c>
      <c r="G728" s="2">
        <v>45799</v>
      </c>
      <c r="H728" t="s">
        <v>24</v>
      </c>
      <c r="I728" t="s">
        <v>25</v>
      </c>
      <c r="J728" s="2">
        <v>45803</v>
      </c>
      <c r="K728" s="2">
        <v>45803</v>
      </c>
      <c r="L728" t="s">
        <v>26</v>
      </c>
      <c r="M728" t="s">
        <v>57</v>
      </c>
      <c r="O728" t="s">
        <v>43</v>
      </c>
      <c r="Q728">
        <f t="shared" si="44"/>
        <v>1</v>
      </c>
      <c r="R728" s="3">
        <f t="shared" si="45"/>
        <v>4</v>
      </c>
      <c r="S728">
        <f t="shared" si="46"/>
        <v>0</v>
      </c>
      <c r="T728">
        <f t="shared" si="47"/>
        <v>0</v>
      </c>
    </row>
    <row r="729" spans="1:20" x14ac:dyDescent="0.25">
      <c r="A729" t="s">
        <v>795</v>
      </c>
      <c r="B729">
        <v>728</v>
      </c>
      <c r="C729" t="s">
        <v>21</v>
      </c>
      <c r="D729" t="s">
        <v>39</v>
      </c>
      <c r="E729" t="s">
        <v>56</v>
      </c>
      <c r="F729" s="2">
        <v>45870</v>
      </c>
      <c r="G729" s="2">
        <v>45872</v>
      </c>
      <c r="H729" t="s">
        <v>45</v>
      </c>
      <c r="I729" t="s">
        <v>42</v>
      </c>
      <c r="J729" s="2">
        <v>45874</v>
      </c>
      <c r="K729" s="2">
        <v>45874</v>
      </c>
      <c r="L729" t="s">
        <v>26</v>
      </c>
      <c r="M729" t="s">
        <v>57</v>
      </c>
      <c r="O729" t="s">
        <v>69</v>
      </c>
      <c r="P729" t="s">
        <v>93</v>
      </c>
      <c r="Q729">
        <f t="shared" si="44"/>
        <v>1</v>
      </c>
      <c r="R729" s="3">
        <f t="shared" si="45"/>
        <v>4</v>
      </c>
      <c r="S729">
        <f t="shared" si="46"/>
        <v>0</v>
      </c>
      <c r="T729">
        <f t="shared" si="47"/>
        <v>0</v>
      </c>
    </row>
    <row r="730" spans="1:20" x14ac:dyDescent="0.25">
      <c r="A730" t="s">
        <v>796</v>
      </c>
      <c r="B730">
        <v>729</v>
      </c>
      <c r="C730" t="s">
        <v>59</v>
      </c>
      <c r="D730" t="s">
        <v>30</v>
      </c>
      <c r="E730" t="s">
        <v>23</v>
      </c>
      <c r="F730" s="2">
        <v>45870</v>
      </c>
      <c r="G730" s="2">
        <v>45870</v>
      </c>
      <c r="H730" t="s">
        <v>45</v>
      </c>
      <c r="I730" t="s">
        <v>73</v>
      </c>
      <c r="J730" s="2">
        <v>45873</v>
      </c>
      <c r="K730" s="2">
        <v>45873</v>
      </c>
      <c r="L730" t="s">
        <v>46</v>
      </c>
      <c r="M730" t="s">
        <v>27</v>
      </c>
      <c r="O730" t="s">
        <v>43</v>
      </c>
      <c r="Q730">
        <f t="shared" si="44"/>
        <v>1</v>
      </c>
      <c r="R730" s="3">
        <f t="shared" si="45"/>
        <v>3</v>
      </c>
      <c r="S730">
        <f t="shared" si="46"/>
        <v>0</v>
      </c>
      <c r="T730">
        <f t="shared" si="47"/>
        <v>1</v>
      </c>
    </row>
    <row r="731" spans="1:20" x14ac:dyDescent="0.25">
      <c r="A731" t="s">
        <v>797</v>
      </c>
      <c r="B731">
        <v>730</v>
      </c>
      <c r="C731" t="s">
        <v>36</v>
      </c>
      <c r="D731" t="s">
        <v>52</v>
      </c>
      <c r="E731" t="s">
        <v>53</v>
      </c>
      <c r="F731" s="2">
        <v>45739</v>
      </c>
      <c r="G731" s="2">
        <v>45741</v>
      </c>
      <c r="H731" t="s">
        <v>31</v>
      </c>
      <c r="I731" t="s">
        <v>42</v>
      </c>
      <c r="J731" s="2">
        <v>45744</v>
      </c>
      <c r="K731" s="2">
        <v>45744</v>
      </c>
      <c r="L731" t="s">
        <v>26</v>
      </c>
      <c r="M731" t="s">
        <v>57</v>
      </c>
      <c r="O731" t="s">
        <v>34</v>
      </c>
      <c r="P731" t="s">
        <v>93</v>
      </c>
      <c r="Q731">
        <f t="shared" si="44"/>
        <v>1</v>
      </c>
      <c r="R731" s="3">
        <f t="shared" si="45"/>
        <v>5</v>
      </c>
      <c r="S731">
        <f t="shared" si="46"/>
        <v>0</v>
      </c>
      <c r="T731">
        <f t="shared" si="47"/>
        <v>0</v>
      </c>
    </row>
    <row r="732" spans="1:20" x14ac:dyDescent="0.25">
      <c r="A732" t="s">
        <v>798</v>
      </c>
      <c r="B732">
        <v>731</v>
      </c>
      <c r="C732" t="s">
        <v>59</v>
      </c>
      <c r="D732" t="s">
        <v>64</v>
      </c>
      <c r="E732" t="s">
        <v>56</v>
      </c>
      <c r="F732" s="2">
        <v>45827</v>
      </c>
      <c r="G732" s="2">
        <v>45828</v>
      </c>
      <c r="H732" t="s">
        <v>45</v>
      </c>
      <c r="I732" t="s">
        <v>62</v>
      </c>
      <c r="J732" s="2">
        <v>45829</v>
      </c>
      <c r="K732" s="2">
        <v>45829</v>
      </c>
      <c r="L732" t="s">
        <v>46</v>
      </c>
      <c r="M732" t="s">
        <v>27</v>
      </c>
      <c r="O732" t="s">
        <v>37</v>
      </c>
      <c r="P732" t="s">
        <v>76</v>
      </c>
      <c r="Q732">
        <f t="shared" si="44"/>
        <v>1</v>
      </c>
      <c r="R732" s="3">
        <f t="shared" si="45"/>
        <v>2</v>
      </c>
      <c r="S732">
        <f t="shared" si="46"/>
        <v>0</v>
      </c>
      <c r="T732">
        <f t="shared" si="47"/>
        <v>1</v>
      </c>
    </row>
    <row r="733" spans="1:20" x14ac:dyDescent="0.25">
      <c r="A733" t="s">
        <v>799</v>
      </c>
      <c r="B733">
        <v>732</v>
      </c>
      <c r="C733" t="s">
        <v>36</v>
      </c>
      <c r="D733" t="s">
        <v>39</v>
      </c>
      <c r="E733" t="s">
        <v>23</v>
      </c>
      <c r="F733" s="2">
        <v>46006</v>
      </c>
      <c r="G733" s="2">
        <v>46008</v>
      </c>
      <c r="H733" t="s">
        <v>24</v>
      </c>
      <c r="I733" t="s">
        <v>62</v>
      </c>
      <c r="J733" s="2">
        <v>46009</v>
      </c>
      <c r="K733" s="2">
        <v>46009</v>
      </c>
      <c r="L733" t="s">
        <v>46</v>
      </c>
      <c r="M733" t="s">
        <v>27</v>
      </c>
      <c r="O733" t="s">
        <v>34</v>
      </c>
      <c r="Q733">
        <f t="shared" si="44"/>
        <v>1</v>
      </c>
      <c r="R733" s="3">
        <f t="shared" si="45"/>
        <v>3</v>
      </c>
      <c r="S733">
        <f t="shared" si="46"/>
        <v>0</v>
      </c>
      <c r="T733">
        <f t="shared" si="47"/>
        <v>1</v>
      </c>
    </row>
    <row r="734" spans="1:20" x14ac:dyDescent="0.25">
      <c r="A734" t="s">
        <v>800</v>
      </c>
      <c r="B734">
        <v>733</v>
      </c>
      <c r="C734" t="s">
        <v>59</v>
      </c>
      <c r="D734" t="s">
        <v>39</v>
      </c>
      <c r="E734" t="s">
        <v>53</v>
      </c>
      <c r="F734" s="2">
        <v>45801</v>
      </c>
      <c r="G734" s="2">
        <v>45802</v>
      </c>
      <c r="H734" t="s">
        <v>41</v>
      </c>
      <c r="I734" t="s">
        <v>73</v>
      </c>
      <c r="J734" s="2">
        <v>45806</v>
      </c>
      <c r="K734" s="2">
        <v>45806</v>
      </c>
      <c r="L734" t="s">
        <v>46</v>
      </c>
      <c r="M734" t="s">
        <v>27</v>
      </c>
      <c r="O734" t="s">
        <v>81</v>
      </c>
      <c r="Q734">
        <f t="shared" si="44"/>
        <v>1</v>
      </c>
      <c r="R734" s="3">
        <f t="shared" si="45"/>
        <v>5</v>
      </c>
      <c r="S734">
        <f t="shared" si="46"/>
        <v>0</v>
      </c>
      <c r="T734">
        <f t="shared" si="47"/>
        <v>1</v>
      </c>
    </row>
    <row r="735" spans="1:20" x14ac:dyDescent="0.25">
      <c r="A735" t="s">
        <v>801</v>
      </c>
      <c r="B735">
        <v>734</v>
      </c>
      <c r="C735" t="s">
        <v>36</v>
      </c>
      <c r="D735" t="s">
        <v>64</v>
      </c>
      <c r="E735" t="s">
        <v>23</v>
      </c>
      <c r="F735" s="2">
        <v>45979</v>
      </c>
      <c r="G735" s="2">
        <v>45979</v>
      </c>
      <c r="H735" t="s">
        <v>61</v>
      </c>
      <c r="I735" t="s">
        <v>73</v>
      </c>
      <c r="J735" s="2">
        <v>45980</v>
      </c>
      <c r="K735" s="2">
        <v>45980</v>
      </c>
      <c r="L735" t="s">
        <v>26</v>
      </c>
      <c r="M735" t="s">
        <v>27</v>
      </c>
      <c r="O735" t="s">
        <v>69</v>
      </c>
      <c r="Q735">
        <f t="shared" si="44"/>
        <v>1</v>
      </c>
      <c r="R735" s="3">
        <f t="shared" si="45"/>
        <v>1</v>
      </c>
      <c r="S735">
        <f t="shared" si="46"/>
        <v>0</v>
      </c>
      <c r="T735">
        <f t="shared" si="47"/>
        <v>0</v>
      </c>
    </row>
    <row r="736" spans="1:20" x14ac:dyDescent="0.25">
      <c r="A736" t="s">
        <v>802</v>
      </c>
      <c r="B736">
        <v>735</v>
      </c>
      <c r="C736" t="s">
        <v>36</v>
      </c>
      <c r="D736" t="s">
        <v>22</v>
      </c>
      <c r="E736" t="s">
        <v>53</v>
      </c>
      <c r="F736" s="2">
        <v>45772</v>
      </c>
      <c r="G736" s="2">
        <v>45772</v>
      </c>
      <c r="H736" t="s">
        <v>41</v>
      </c>
      <c r="I736" t="s">
        <v>85</v>
      </c>
      <c r="J736" s="2">
        <v>45778</v>
      </c>
      <c r="K736" s="2">
        <v>45778</v>
      </c>
      <c r="L736" t="s">
        <v>46</v>
      </c>
      <c r="M736" t="s">
        <v>57</v>
      </c>
      <c r="O736" t="s">
        <v>28</v>
      </c>
      <c r="Q736">
        <f t="shared" si="44"/>
        <v>1</v>
      </c>
      <c r="R736" s="3">
        <f t="shared" si="45"/>
        <v>6</v>
      </c>
      <c r="S736">
        <f t="shared" si="46"/>
        <v>0</v>
      </c>
      <c r="T736">
        <f t="shared" si="47"/>
        <v>1</v>
      </c>
    </row>
    <row r="737" spans="1:20" x14ac:dyDescent="0.25">
      <c r="A737" t="s">
        <v>803</v>
      </c>
      <c r="B737">
        <v>736</v>
      </c>
      <c r="C737" t="s">
        <v>78</v>
      </c>
      <c r="D737" t="s">
        <v>22</v>
      </c>
      <c r="E737" t="s">
        <v>23</v>
      </c>
      <c r="F737" s="2">
        <v>45863</v>
      </c>
      <c r="G737" s="2">
        <v>45864</v>
      </c>
      <c r="H737" t="s">
        <v>41</v>
      </c>
      <c r="I737" t="s">
        <v>83</v>
      </c>
      <c r="J737" s="2">
        <v>45869</v>
      </c>
      <c r="K737" s="2">
        <v>45869</v>
      </c>
      <c r="L737" t="s">
        <v>26</v>
      </c>
      <c r="M737" t="s">
        <v>27</v>
      </c>
      <c r="O737" t="s">
        <v>34</v>
      </c>
      <c r="Q737">
        <f t="shared" si="44"/>
        <v>1</v>
      </c>
      <c r="R737" s="3">
        <f t="shared" si="45"/>
        <v>6</v>
      </c>
      <c r="S737">
        <f t="shared" si="46"/>
        <v>0</v>
      </c>
      <c r="T737">
        <f t="shared" si="47"/>
        <v>0</v>
      </c>
    </row>
    <row r="738" spans="1:20" x14ac:dyDescent="0.25">
      <c r="A738" t="s">
        <v>804</v>
      </c>
      <c r="B738">
        <v>737</v>
      </c>
      <c r="C738" t="s">
        <v>78</v>
      </c>
      <c r="D738" t="s">
        <v>39</v>
      </c>
      <c r="E738" t="s">
        <v>23</v>
      </c>
      <c r="F738" s="2">
        <v>45881</v>
      </c>
      <c r="G738" s="2">
        <v>45883</v>
      </c>
      <c r="H738" t="s">
        <v>31</v>
      </c>
      <c r="I738" t="s">
        <v>62</v>
      </c>
      <c r="J738" s="2">
        <v>45888</v>
      </c>
      <c r="K738" s="2">
        <v>45888</v>
      </c>
      <c r="L738" t="s">
        <v>26</v>
      </c>
      <c r="M738" t="s">
        <v>27</v>
      </c>
      <c r="O738" t="s">
        <v>37</v>
      </c>
      <c r="Q738">
        <f t="shared" si="44"/>
        <v>1</v>
      </c>
      <c r="R738" s="3">
        <f t="shared" si="45"/>
        <v>7</v>
      </c>
      <c r="S738">
        <f t="shared" si="46"/>
        <v>0</v>
      </c>
      <c r="T738">
        <f t="shared" si="47"/>
        <v>0</v>
      </c>
    </row>
    <row r="739" spans="1:20" x14ac:dyDescent="0.25">
      <c r="A739" t="s">
        <v>805</v>
      </c>
      <c r="B739">
        <v>738</v>
      </c>
      <c r="C739" t="s">
        <v>36</v>
      </c>
      <c r="D739" t="s">
        <v>52</v>
      </c>
      <c r="E739" t="s">
        <v>53</v>
      </c>
      <c r="F739" s="2">
        <v>45925</v>
      </c>
      <c r="G739" s="2">
        <v>45926</v>
      </c>
      <c r="H739" t="s">
        <v>45</v>
      </c>
      <c r="I739" t="s">
        <v>42</v>
      </c>
      <c r="J739" s="2">
        <v>45929</v>
      </c>
      <c r="K739" s="2">
        <v>45929</v>
      </c>
      <c r="L739" t="s">
        <v>26</v>
      </c>
      <c r="M739" t="s">
        <v>57</v>
      </c>
      <c r="O739" t="s">
        <v>34</v>
      </c>
      <c r="Q739">
        <f t="shared" si="44"/>
        <v>1</v>
      </c>
      <c r="R739" s="3">
        <f t="shared" si="45"/>
        <v>4</v>
      </c>
      <c r="S739">
        <f t="shared" si="46"/>
        <v>0</v>
      </c>
      <c r="T739">
        <f t="shared" si="47"/>
        <v>0</v>
      </c>
    </row>
    <row r="740" spans="1:20" x14ac:dyDescent="0.25">
      <c r="A740" t="s">
        <v>806</v>
      </c>
      <c r="B740">
        <v>739</v>
      </c>
      <c r="C740" t="s">
        <v>21</v>
      </c>
      <c r="D740" t="s">
        <v>22</v>
      </c>
      <c r="E740" t="s">
        <v>56</v>
      </c>
      <c r="F740" s="2">
        <v>45939</v>
      </c>
      <c r="G740" s="2">
        <v>45939</v>
      </c>
      <c r="H740" t="s">
        <v>45</v>
      </c>
      <c r="I740" t="s">
        <v>25</v>
      </c>
      <c r="J740" s="2">
        <v>45940</v>
      </c>
      <c r="K740" s="2">
        <v>45940</v>
      </c>
      <c r="L740" t="s">
        <v>26</v>
      </c>
      <c r="M740" t="s">
        <v>57</v>
      </c>
      <c r="O740" t="s">
        <v>28</v>
      </c>
      <c r="Q740">
        <f t="shared" si="44"/>
        <v>1</v>
      </c>
      <c r="R740" s="3">
        <f t="shared" si="45"/>
        <v>1</v>
      </c>
      <c r="S740">
        <f t="shared" si="46"/>
        <v>0</v>
      </c>
      <c r="T740">
        <f t="shared" si="47"/>
        <v>0</v>
      </c>
    </row>
    <row r="741" spans="1:20" x14ac:dyDescent="0.25">
      <c r="A741" t="s">
        <v>807</v>
      </c>
      <c r="B741">
        <v>740</v>
      </c>
      <c r="C741" t="s">
        <v>78</v>
      </c>
      <c r="D741" t="s">
        <v>30</v>
      </c>
      <c r="E741" t="s">
        <v>60</v>
      </c>
      <c r="F741" s="2">
        <v>45975</v>
      </c>
      <c r="G741" s="2">
        <v>45975</v>
      </c>
      <c r="H741" t="s">
        <v>61</v>
      </c>
      <c r="I741" t="s">
        <v>85</v>
      </c>
      <c r="J741" s="2">
        <v>45981</v>
      </c>
      <c r="K741" s="2">
        <v>45981</v>
      </c>
      <c r="L741" t="s">
        <v>46</v>
      </c>
      <c r="M741" t="s">
        <v>57</v>
      </c>
      <c r="O741" t="s">
        <v>43</v>
      </c>
      <c r="Q741">
        <f t="shared" si="44"/>
        <v>1</v>
      </c>
      <c r="R741" s="3">
        <f t="shared" si="45"/>
        <v>6</v>
      </c>
      <c r="S741">
        <f t="shared" si="46"/>
        <v>0</v>
      </c>
      <c r="T741">
        <f t="shared" si="47"/>
        <v>1</v>
      </c>
    </row>
    <row r="742" spans="1:20" x14ac:dyDescent="0.25">
      <c r="A742" t="s">
        <v>808</v>
      </c>
      <c r="B742">
        <v>741</v>
      </c>
      <c r="C742" t="s">
        <v>21</v>
      </c>
      <c r="D742" t="s">
        <v>39</v>
      </c>
      <c r="E742" t="s">
        <v>53</v>
      </c>
      <c r="F742" s="2">
        <v>45954</v>
      </c>
      <c r="G742" s="2">
        <v>45956</v>
      </c>
      <c r="H742" t="s">
        <v>31</v>
      </c>
      <c r="I742" t="s">
        <v>42</v>
      </c>
      <c r="J742" s="2">
        <v>45960</v>
      </c>
      <c r="K742" s="2">
        <v>45960</v>
      </c>
      <c r="L742" t="s">
        <v>26</v>
      </c>
      <c r="M742" t="s">
        <v>27</v>
      </c>
      <c r="O742" t="s">
        <v>34</v>
      </c>
      <c r="Q742">
        <f t="shared" si="44"/>
        <v>1</v>
      </c>
      <c r="R742" s="3">
        <f t="shared" si="45"/>
        <v>6</v>
      </c>
      <c r="S742">
        <f t="shared" si="46"/>
        <v>0</v>
      </c>
      <c r="T742">
        <f t="shared" si="47"/>
        <v>0</v>
      </c>
    </row>
    <row r="743" spans="1:20" x14ac:dyDescent="0.25">
      <c r="A743" t="s">
        <v>809</v>
      </c>
      <c r="B743">
        <v>742</v>
      </c>
      <c r="C743" t="s">
        <v>59</v>
      </c>
      <c r="D743" t="s">
        <v>22</v>
      </c>
      <c r="E743" t="s">
        <v>56</v>
      </c>
      <c r="F743" s="2">
        <v>45967</v>
      </c>
      <c r="G743" s="2">
        <v>45967</v>
      </c>
      <c r="H743" t="s">
        <v>41</v>
      </c>
      <c r="I743" t="s">
        <v>73</v>
      </c>
      <c r="J743" s="2">
        <v>45968</v>
      </c>
      <c r="K743" s="2">
        <v>45968</v>
      </c>
      <c r="L743" t="s">
        <v>46</v>
      </c>
      <c r="M743" t="s">
        <v>27</v>
      </c>
      <c r="O743" t="s">
        <v>37</v>
      </c>
      <c r="P743" t="s">
        <v>88</v>
      </c>
      <c r="Q743">
        <f t="shared" si="44"/>
        <v>1</v>
      </c>
      <c r="R743" s="3">
        <f t="shared" si="45"/>
        <v>1</v>
      </c>
      <c r="S743">
        <f t="shared" si="46"/>
        <v>0</v>
      </c>
      <c r="T743">
        <f t="shared" si="47"/>
        <v>1</v>
      </c>
    </row>
    <row r="744" spans="1:20" x14ac:dyDescent="0.25">
      <c r="A744" t="s">
        <v>810</v>
      </c>
      <c r="B744">
        <v>743</v>
      </c>
      <c r="C744" t="s">
        <v>36</v>
      </c>
      <c r="D744" t="s">
        <v>64</v>
      </c>
      <c r="E744" t="s">
        <v>23</v>
      </c>
      <c r="F744" s="2">
        <v>45996</v>
      </c>
      <c r="G744" s="2">
        <v>45996</v>
      </c>
      <c r="H744" t="s">
        <v>31</v>
      </c>
      <c r="I744" t="s">
        <v>62</v>
      </c>
      <c r="J744" s="2">
        <v>46000</v>
      </c>
      <c r="K744" s="2">
        <v>46000</v>
      </c>
      <c r="L744" t="s">
        <v>26</v>
      </c>
      <c r="M744" t="s">
        <v>57</v>
      </c>
      <c r="O744" t="s">
        <v>34</v>
      </c>
      <c r="Q744">
        <f t="shared" si="44"/>
        <v>1</v>
      </c>
      <c r="R744" s="3">
        <f t="shared" si="45"/>
        <v>4</v>
      </c>
      <c r="S744">
        <f t="shared" si="46"/>
        <v>0</v>
      </c>
      <c r="T744">
        <f t="shared" si="47"/>
        <v>0</v>
      </c>
    </row>
    <row r="745" spans="1:20" x14ac:dyDescent="0.25">
      <c r="A745" t="s">
        <v>811</v>
      </c>
      <c r="B745">
        <v>744</v>
      </c>
      <c r="C745" t="s">
        <v>59</v>
      </c>
      <c r="D745" t="s">
        <v>64</v>
      </c>
      <c r="E745" t="s">
        <v>23</v>
      </c>
      <c r="F745" s="2">
        <v>45794</v>
      </c>
      <c r="G745" s="2">
        <v>45796</v>
      </c>
      <c r="H745" t="s">
        <v>31</v>
      </c>
      <c r="I745" t="s">
        <v>83</v>
      </c>
      <c r="J745" s="2">
        <v>45800</v>
      </c>
      <c r="K745" s="2">
        <v>45800</v>
      </c>
      <c r="L745" t="s">
        <v>26</v>
      </c>
      <c r="M745" t="s">
        <v>57</v>
      </c>
      <c r="O745" t="s">
        <v>34</v>
      </c>
      <c r="Q745">
        <f t="shared" si="44"/>
        <v>1</v>
      </c>
      <c r="R745" s="3">
        <f t="shared" si="45"/>
        <v>6</v>
      </c>
      <c r="S745">
        <f t="shared" si="46"/>
        <v>0</v>
      </c>
      <c r="T745">
        <f t="shared" si="47"/>
        <v>0</v>
      </c>
    </row>
    <row r="746" spans="1:20" x14ac:dyDescent="0.25">
      <c r="A746" t="s">
        <v>812</v>
      </c>
      <c r="B746">
        <v>745</v>
      </c>
      <c r="C746" t="s">
        <v>51</v>
      </c>
      <c r="D746" t="s">
        <v>52</v>
      </c>
      <c r="E746" t="s">
        <v>60</v>
      </c>
      <c r="F746" s="2">
        <v>45988</v>
      </c>
      <c r="G746" s="2">
        <v>45990</v>
      </c>
      <c r="H746" t="s">
        <v>61</v>
      </c>
      <c r="I746" t="s">
        <v>85</v>
      </c>
      <c r="J746" s="2">
        <v>45991</v>
      </c>
      <c r="K746" s="2">
        <v>45991</v>
      </c>
      <c r="L746" t="s">
        <v>26</v>
      </c>
      <c r="M746" t="s">
        <v>27</v>
      </c>
      <c r="O746" t="s">
        <v>28</v>
      </c>
      <c r="Q746">
        <f t="shared" si="44"/>
        <v>1</v>
      </c>
      <c r="R746" s="3">
        <f t="shared" si="45"/>
        <v>3</v>
      </c>
      <c r="S746">
        <f t="shared" si="46"/>
        <v>0</v>
      </c>
      <c r="T746">
        <f t="shared" si="47"/>
        <v>0</v>
      </c>
    </row>
    <row r="747" spans="1:20" x14ac:dyDescent="0.25">
      <c r="A747" t="s">
        <v>813</v>
      </c>
      <c r="B747">
        <v>746</v>
      </c>
      <c r="C747" t="s">
        <v>78</v>
      </c>
      <c r="D747" t="s">
        <v>22</v>
      </c>
      <c r="E747" t="s">
        <v>56</v>
      </c>
      <c r="F747" s="2">
        <v>45871</v>
      </c>
      <c r="G747" s="2">
        <v>45871</v>
      </c>
      <c r="H747" t="s">
        <v>41</v>
      </c>
      <c r="I747" t="s">
        <v>62</v>
      </c>
      <c r="J747" s="2">
        <v>45874</v>
      </c>
      <c r="K747" s="2">
        <v>45874</v>
      </c>
      <c r="L747" t="s">
        <v>26</v>
      </c>
      <c r="M747" t="s">
        <v>27</v>
      </c>
      <c r="O747" t="s">
        <v>34</v>
      </c>
      <c r="Q747">
        <f t="shared" si="44"/>
        <v>1</v>
      </c>
      <c r="R747" s="3">
        <f t="shared" si="45"/>
        <v>3</v>
      </c>
      <c r="S747">
        <f t="shared" si="46"/>
        <v>0</v>
      </c>
      <c r="T747">
        <f t="shared" si="47"/>
        <v>0</v>
      </c>
    </row>
    <row r="748" spans="1:20" x14ac:dyDescent="0.25">
      <c r="A748" t="s">
        <v>814</v>
      </c>
      <c r="B748">
        <v>747</v>
      </c>
      <c r="C748" t="s">
        <v>78</v>
      </c>
      <c r="D748" t="s">
        <v>64</v>
      </c>
      <c r="E748" t="s">
        <v>53</v>
      </c>
      <c r="F748" s="2">
        <v>45755</v>
      </c>
      <c r="G748" s="2">
        <v>45756</v>
      </c>
      <c r="H748" t="s">
        <v>31</v>
      </c>
      <c r="I748" t="s">
        <v>83</v>
      </c>
      <c r="J748" s="2">
        <v>45758</v>
      </c>
      <c r="K748" s="2">
        <v>45758</v>
      </c>
      <c r="L748" t="s">
        <v>26</v>
      </c>
      <c r="M748" t="s">
        <v>57</v>
      </c>
      <c r="O748" t="s">
        <v>81</v>
      </c>
      <c r="Q748">
        <f t="shared" si="44"/>
        <v>1</v>
      </c>
      <c r="R748" s="3">
        <f t="shared" si="45"/>
        <v>3</v>
      </c>
      <c r="S748">
        <f t="shared" si="46"/>
        <v>0</v>
      </c>
      <c r="T748">
        <f t="shared" si="47"/>
        <v>0</v>
      </c>
    </row>
    <row r="749" spans="1:20" x14ac:dyDescent="0.25">
      <c r="A749" t="s">
        <v>815</v>
      </c>
      <c r="B749">
        <v>748</v>
      </c>
      <c r="C749" t="s">
        <v>51</v>
      </c>
      <c r="D749" t="s">
        <v>64</v>
      </c>
      <c r="E749" t="s">
        <v>40</v>
      </c>
      <c r="F749" s="2">
        <v>45744</v>
      </c>
      <c r="G749" s="2">
        <v>45744</v>
      </c>
      <c r="H749" t="s">
        <v>61</v>
      </c>
      <c r="I749" t="s">
        <v>54</v>
      </c>
      <c r="J749" s="2">
        <v>45746</v>
      </c>
      <c r="K749" s="2">
        <v>45746</v>
      </c>
      <c r="L749" t="s">
        <v>26</v>
      </c>
      <c r="M749" t="s">
        <v>57</v>
      </c>
      <c r="O749" t="s">
        <v>37</v>
      </c>
      <c r="Q749">
        <f t="shared" si="44"/>
        <v>1</v>
      </c>
      <c r="R749" s="3">
        <f t="shared" si="45"/>
        <v>2</v>
      </c>
      <c r="S749">
        <f t="shared" si="46"/>
        <v>0</v>
      </c>
      <c r="T749">
        <f t="shared" si="47"/>
        <v>0</v>
      </c>
    </row>
    <row r="750" spans="1:20" x14ac:dyDescent="0.25">
      <c r="A750" t="s">
        <v>816</v>
      </c>
      <c r="B750">
        <v>749</v>
      </c>
      <c r="C750" t="s">
        <v>51</v>
      </c>
      <c r="D750" t="s">
        <v>64</v>
      </c>
      <c r="E750" t="s">
        <v>40</v>
      </c>
      <c r="F750" s="2">
        <v>45950</v>
      </c>
      <c r="G750" s="2">
        <v>45952</v>
      </c>
      <c r="H750" t="s">
        <v>31</v>
      </c>
      <c r="I750" t="s">
        <v>62</v>
      </c>
      <c r="J750" s="2">
        <v>45957</v>
      </c>
      <c r="K750" s="2">
        <v>45957</v>
      </c>
      <c r="L750" t="s">
        <v>26</v>
      </c>
      <c r="M750" t="s">
        <v>57</v>
      </c>
      <c r="O750" t="s">
        <v>43</v>
      </c>
      <c r="Q750">
        <f t="shared" si="44"/>
        <v>1</v>
      </c>
      <c r="R750" s="3">
        <f t="shared" si="45"/>
        <v>7</v>
      </c>
      <c r="S750">
        <f t="shared" si="46"/>
        <v>0</v>
      </c>
      <c r="T750">
        <f t="shared" si="47"/>
        <v>0</v>
      </c>
    </row>
    <row r="751" spans="1:20" x14ac:dyDescent="0.25">
      <c r="A751" t="s">
        <v>817</v>
      </c>
      <c r="B751">
        <v>750</v>
      </c>
      <c r="C751" t="s">
        <v>36</v>
      </c>
      <c r="D751" t="s">
        <v>52</v>
      </c>
      <c r="E751" t="s">
        <v>53</v>
      </c>
      <c r="F751" s="2">
        <v>45917</v>
      </c>
      <c r="G751" s="2">
        <v>45918</v>
      </c>
      <c r="H751" t="s">
        <v>41</v>
      </c>
      <c r="I751" t="s">
        <v>62</v>
      </c>
      <c r="J751" s="2">
        <v>45921</v>
      </c>
      <c r="K751" s="2">
        <v>45921</v>
      </c>
      <c r="L751" t="s">
        <v>46</v>
      </c>
      <c r="M751" t="s">
        <v>57</v>
      </c>
      <c r="O751" t="s">
        <v>34</v>
      </c>
      <c r="Q751">
        <f t="shared" si="44"/>
        <v>1</v>
      </c>
      <c r="R751" s="3">
        <f t="shared" si="45"/>
        <v>4</v>
      </c>
      <c r="S751">
        <f t="shared" si="46"/>
        <v>0</v>
      </c>
      <c r="T751">
        <f t="shared" si="47"/>
        <v>1</v>
      </c>
    </row>
    <row r="752" spans="1:20" x14ac:dyDescent="0.25">
      <c r="A752" t="s">
        <v>818</v>
      </c>
      <c r="B752">
        <v>751</v>
      </c>
      <c r="C752" t="s">
        <v>36</v>
      </c>
      <c r="D752" t="s">
        <v>22</v>
      </c>
      <c r="E752" t="s">
        <v>56</v>
      </c>
      <c r="F752" s="2">
        <v>45660</v>
      </c>
      <c r="G752" s="2">
        <v>45661</v>
      </c>
      <c r="H752" t="s">
        <v>41</v>
      </c>
      <c r="I752" t="s">
        <v>85</v>
      </c>
      <c r="J752" s="2">
        <v>45666</v>
      </c>
      <c r="K752" s="2">
        <v>45666</v>
      </c>
      <c r="L752" t="s">
        <v>26</v>
      </c>
      <c r="M752" t="s">
        <v>27</v>
      </c>
      <c r="O752" t="s">
        <v>28</v>
      </c>
      <c r="P752" t="s">
        <v>76</v>
      </c>
      <c r="Q752">
        <f t="shared" si="44"/>
        <v>1</v>
      </c>
      <c r="R752" s="3">
        <f t="shared" si="45"/>
        <v>6</v>
      </c>
      <c r="S752">
        <f t="shared" si="46"/>
        <v>0</v>
      </c>
      <c r="T752">
        <f t="shared" si="47"/>
        <v>0</v>
      </c>
    </row>
    <row r="753" spans="1:20" x14ac:dyDescent="0.25">
      <c r="A753" t="s">
        <v>819</v>
      </c>
      <c r="B753">
        <v>752</v>
      </c>
      <c r="C753" t="s">
        <v>36</v>
      </c>
      <c r="D753" t="s">
        <v>30</v>
      </c>
      <c r="E753" t="s">
        <v>60</v>
      </c>
      <c r="F753" s="2">
        <v>45879</v>
      </c>
      <c r="G753" s="2">
        <v>45880</v>
      </c>
      <c r="H753" t="s">
        <v>61</v>
      </c>
      <c r="I753" t="s">
        <v>83</v>
      </c>
      <c r="J753" s="2">
        <v>45882</v>
      </c>
      <c r="K753" s="2">
        <v>45882</v>
      </c>
      <c r="L753" t="s">
        <v>46</v>
      </c>
      <c r="M753" t="s">
        <v>57</v>
      </c>
      <c r="O753" t="s">
        <v>69</v>
      </c>
      <c r="Q753">
        <f t="shared" si="44"/>
        <v>1</v>
      </c>
      <c r="R753" s="3">
        <f t="shared" si="45"/>
        <v>3</v>
      </c>
      <c r="S753">
        <f t="shared" si="46"/>
        <v>0</v>
      </c>
      <c r="T753">
        <f t="shared" si="47"/>
        <v>1</v>
      </c>
    </row>
    <row r="754" spans="1:20" x14ac:dyDescent="0.25">
      <c r="A754" t="s">
        <v>820</v>
      </c>
      <c r="B754">
        <v>753</v>
      </c>
      <c r="C754" t="s">
        <v>59</v>
      </c>
      <c r="D754" t="s">
        <v>52</v>
      </c>
      <c r="E754" t="s">
        <v>23</v>
      </c>
      <c r="F754" s="2">
        <v>45672</v>
      </c>
      <c r="G754" s="2">
        <v>45674</v>
      </c>
      <c r="H754" t="s">
        <v>61</v>
      </c>
      <c r="I754" t="s">
        <v>83</v>
      </c>
      <c r="J754" s="2">
        <v>45676</v>
      </c>
      <c r="K754" s="2">
        <v>45680</v>
      </c>
      <c r="L754" t="s">
        <v>26</v>
      </c>
      <c r="M754" t="s">
        <v>32</v>
      </c>
      <c r="N754" t="s">
        <v>49</v>
      </c>
      <c r="O754" t="s">
        <v>43</v>
      </c>
      <c r="Q754">
        <f t="shared" si="44"/>
        <v>0</v>
      </c>
      <c r="R754" s="3">
        <f t="shared" si="45"/>
        <v>4</v>
      </c>
      <c r="S754">
        <f t="shared" si="46"/>
        <v>1</v>
      </c>
      <c r="T754">
        <f t="shared" si="47"/>
        <v>0</v>
      </c>
    </row>
    <row r="755" spans="1:20" x14ac:dyDescent="0.25">
      <c r="A755" t="s">
        <v>821</v>
      </c>
      <c r="B755">
        <v>754</v>
      </c>
      <c r="C755" t="s">
        <v>21</v>
      </c>
      <c r="D755" t="s">
        <v>39</v>
      </c>
      <c r="E755" t="s">
        <v>23</v>
      </c>
      <c r="F755" s="2">
        <v>45828</v>
      </c>
      <c r="G755" s="2">
        <v>45829</v>
      </c>
      <c r="H755" t="s">
        <v>41</v>
      </c>
      <c r="I755" t="s">
        <v>42</v>
      </c>
      <c r="J755" s="2">
        <v>45830</v>
      </c>
      <c r="K755" s="2">
        <v>45830</v>
      </c>
      <c r="L755" t="s">
        <v>26</v>
      </c>
      <c r="M755" t="s">
        <v>27</v>
      </c>
      <c r="O755" t="s">
        <v>28</v>
      </c>
      <c r="Q755">
        <f t="shared" si="44"/>
        <v>1</v>
      </c>
      <c r="R755" s="3">
        <f t="shared" si="45"/>
        <v>2</v>
      </c>
      <c r="S755">
        <f t="shared" si="46"/>
        <v>0</v>
      </c>
      <c r="T755">
        <f t="shared" si="47"/>
        <v>0</v>
      </c>
    </row>
    <row r="756" spans="1:20" x14ac:dyDescent="0.25">
      <c r="A756" t="s">
        <v>822</v>
      </c>
      <c r="B756">
        <v>755</v>
      </c>
      <c r="C756" t="s">
        <v>59</v>
      </c>
      <c r="D756" t="s">
        <v>22</v>
      </c>
      <c r="E756" t="s">
        <v>56</v>
      </c>
      <c r="F756" s="2">
        <v>45890</v>
      </c>
      <c r="G756" s="2">
        <v>45890</v>
      </c>
      <c r="H756" t="s">
        <v>24</v>
      </c>
      <c r="I756" t="s">
        <v>42</v>
      </c>
      <c r="J756" s="2">
        <v>45892</v>
      </c>
      <c r="K756" s="2">
        <v>45892</v>
      </c>
      <c r="L756" t="s">
        <v>26</v>
      </c>
      <c r="M756" t="s">
        <v>57</v>
      </c>
      <c r="O756" t="s">
        <v>28</v>
      </c>
      <c r="Q756">
        <f t="shared" si="44"/>
        <v>1</v>
      </c>
      <c r="R756" s="3">
        <f t="shared" si="45"/>
        <v>2</v>
      </c>
      <c r="S756">
        <f t="shared" si="46"/>
        <v>0</v>
      </c>
      <c r="T756">
        <f t="shared" si="47"/>
        <v>0</v>
      </c>
    </row>
    <row r="757" spans="1:20" x14ac:dyDescent="0.25">
      <c r="A757" t="s">
        <v>823</v>
      </c>
      <c r="B757">
        <v>756</v>
      </c>
      <c r="C757" t="s">
        <v>78</v>
      </c>
      <c r="D757" t="s">
        <v>39</v>
      </c>
      <c r="E757" t="s">
        <v>56</v>
      </c>
      <c r="F757" s="2">
        <v>45908</v>
      </c>
      <c r="G757" s="2">
        <v>45910</v>
      </c>
      <c r="H757" t="s">
        <v>31</v>
      </c>
      <c r="I757" t="s">
        <v>42</v>
      </c>
      <c r="J757" s="2">
        <v>45914</v>
      </c>
      <c r="K757" s="2">
        <v>45914</v>
      </c>
      <c r="L757" t="s">
        <v>26</v>
      </c>
      <c r="M757" t="s">
        <v>57</v>
      </c>
      <c r="O757" t="s">
        <v>69</v>
      </c>
      <c r="Q757">
        <f t="shared" si="44"/>
        <v>1</v>
      </c>
      <c r="R757" s="3">
        <f t="shared" si="45"/>
        <v>6</v>
      </c>
      <c r="S757">
        <f t="shared" si="46"/>
        <v>0</v>
      </c>
      <c r="T757">
        <f t="shared" si="47"/>
        <v>0</v>
      </c>
    </row>
    <row r="758" spans="1:20" x14ac:dyDescent="0.25">
      <c r="A758" t="s">
        <v>824</v>
      </c>
      <c r="B758">
        <v>757</v>
      </c>
      <c r="C758" t="s">
        <v>51</v>
      </c>
      <c r="D758" t="s">
        <v>22</v>
      </c>
      <c r="E758" t="s">
        <v>40</v>
      </c>
      <c r="F758" s="2">
        <v>45731</v>
      </c>
      <c r="G758" s="2">
        <v>45732</v>
      </c>
      <c r="H758" t="s">
        <v>41</v>
      </c>
      <c r="I758" t="s">
        <v>42</v>
      </c>
      <c r="J758" s="2">
        <v>45734</v>
      </c>
      <c r="K758" s="2">
        <v>45734</v>
      </c>
      <c r="L758" t="s">
        <v>26</v>
      </c>
      <c r="M758" t="s">
        <v>27</v>
      </c>
      <c r="O758" t="s">
        <v>81</v>
      </c>
      <c r="Q758">
        <f t="shared" si="44"/>
        <v>1</v>
      </c>
      <c r="R758" s="3">
        <f t="shared" si="45"/>
        <v>3</v>
      </c>
      <c r="S758">
        <f t="shared" si="46"/>
        <v>0</v>
      </c>
      <c r="T758">
        <f t="shared" si="47"/>
        <v>0</v>
      </c>
    </row>
    <row r="759" spans="1:20" x14ac:dyDescent="0.25">
      <c r="A759" t="s">
        <v>825</v>
      </c>
      <c r="B759">
        <v>758</v>
      </c>
      <c r="C759" t="s">
        <v>78</v>
      </c>
      <c r="D759" t="s">
        <v>22</v>
      </c>
      <c r="E759" t="s">
        <v>60</v>
      </c>
      <c r="F759" s="2">
        <v>45662</v>
      </c>
      <c r="G759" s="2">
        <v>45662</v>
      </c>
      <c r="H759" t="s">
        <v>31</v>
      </c>
      <c r="I759" t="s">
        <v>73</v>
      </c>
      <c r="J759" s="2">
        <v>45666</v>
      </c>
      <c r="K759" s="2">
        <v>45666</v>
      </c>
      <c r="L759" t="s">
        <v>26</v>
      </c>
      <c r="M759" t="s">
        <v>27</v>
      </c>
      <c r="O759" t="s">
        <v>43</v>
      </c>
      <c r="Q759">
        <f t="shared" si="44"/>
        <v>1</v>
      </c>
      <c r="R759" s="3">
        <f t="shared" si="45"/>
        <v>4</v>
      </c>
      <c r="S759">
        <f t="shared" si="46"/>
        <v>0</v>
      </c>
      <c r="T759">
        <f t="shared" si="47"/>
        <v>0</v>
      </c>
    </row>
    <row r="760" spans="1:20" x14ac:dyDescent="0.25">
      <c r="A760" t="s">
        <v>826</v>
      </c>
      <c r="B760">
        <v>759</v>
      </c>
      <c r="C760" t="s">
        <v>51</v>
      </c>
      <c r="D760" t="s">
        <v>64</v>
      </c>
      <c r="E760" t="s">
        <v>53</v>
      </c>
      <c r="F760" s="2">
        <v>45870</v>
      </c>
      <c r="G760" s="2">
        <v>45871</v>
      </c>
      <c r="H760" t="s">
        <v>45</v>
      </c>
      <c r="I760" t="s">
        <v>42</v>
      </c>
      <c r="J760" s="2">
        <v>45877</v>
      </c>
      <c r="K760" s="2">
        <v>45877</v>
      </c>
      <c r="L760" t="s">
        <v>26</v>
      </c>
      <c r="M760" t="s">
        <v>57</v>
      </c>
      <c r="O760" t="s">
        <v>81</v>
      </c>
      <c r="Q760">
        <f t="shared" si="44"/>
        <v>1</v>
      </c>
      <c r="R760" s="3">
        <f t="shared" si="45"/>
        <v>7</v>
      </c>
      <c r="S760">
        <f t="shared" si="46"/>
        <v>0</v>
      </c>
      <c r="T760">
        <f t="shared" si="47"/>
        <v>0</v>
      </c>
    </row>
    <row r="761" spans="1:20" x14ac:dyDescent="0.25">
      <c r="A761" t="s">
        <v>827</v>
      </c>
      <c r="B761">
        <v>760</v>
      </c>
      <c r="C761" t="s">
        <v>51</v>
      </c>
      <c r="D761" t="s">
        <v>22</v>
      </c>
      <c r="E761" t="s">
        <v>56</v>
      </c>
      <c r="F761" s="2">
        <v>45970</v>
      </c>
      <c r="G761" s="2">
        <v>45971</v>
      </c>
      <c r="H761" t="s">
        <v>41</v>
      </c>
      <c r="I761" t="s">
        <v>83</v>
      </c>
      <c r="J761" s="2">
        <v>45975</v>
      </c>
      <c r="K761" s="2">
        <v>45979</v>
      </c>
      <c r="L761" t="s">
        <v>26</v>
      </c>
      <c r="M761" t="s">
        <v>32</v>
      </c>
      <c r="N761" t="s">
        <v>67</v>
      </c>
      <c r="O761" t="s">
        <v>28</v>
      </c>
      <c r="Q761">
        <f t="shared" si="44"/>
        <v>0</v>
      </c>
      <c r="R761" s="3">
        <f t="shared" si="45"/>
        <v>5</v>
      </c>
      <c r="S761">
        <f t="shared" si="46"/>
        <v>1</v>
      </c>
      <c r="T761">
        <f t="shared" si="47"/>
        <v>0</v>
      </c>
    </row>
    <row r="762" spans="1:20" x14ac:dyDescent="0.25">
      <c r="A762" t="s">
        <v>828</v>
      </c>
      <c r="B762">
        <v>761</v>
      </c>
      <c r="C762" t="s">
        <v>78</v>
      </c>
      <c r="D762" t="s">
        <v>30</v>
      </c>
      <c r="E762" t="s">
        <v>53</v>
      </c>
      <c r="F762" s="2">
        <v>45962</v>
      </c>
      <c r="G762" s="2">
        <v>45962</v>
      </c>
      <c r="H762" t="s">
        <v>41</v>
      </c>
      <c r="I762" t="s">
        <v>83</v>
      </c>
      <c r="J762" s="2">
        <v>45964</v>
      </c>
      <c r="K762" s="2">
        <v>45964</v>
      </c>
      <c r="L762" t="s">
        <v>46</v>
      </c>
      <c r="M762" t="s">
        <v>57</v>
      </c>
      <c r="O762" t="s">
        <v>69</v>
      </c>
      <c r="Q762">
        <f t="shared" si="44"/>
        <v>1</v>
      </c>
      <c r="R762" s="3">
        <f t="shared" si="45"/>
        <v>2</v>
      </c>
      <c r="S762">
        <f t="shared" si="46"/>
        <v>0</v>
      </c>
      <c r="T762">
        <f t="shared" si="47"/>
        <v>1</v>
      </c>
    </row>
    <row r="763" spans="1:20" x14ac:dyDescent="0.25">
      <c r="A763" t="s">
        <v>829</v>
      </c>
      <c r="B763">
        <v>762</v>
      </c>
      <c r="C763" t="s">
        <v>51</v>
      </c>
      <c r="D763" t="s">
        <v>39</v>
      </c>
      <c r="E763" t="s">
        <v>23</v>
      </c>
      <c r="F763" s="2">
        <v>45818</v>
      </c>
      <c r="G763" s="2">
        <v>45820</v>
      </c>
      <c r="H763" t="s">
        <v>24</v>
      </c>
      <c r="I763" t="s">
        <v>42</v>
      </c>
      <c r="J763" s="2">
        <v>45823</v>
      </c>
      <c r="K763" s="2">
        <v>45823</v>
      </c>
      <c r="L763" t="s">
        <v>26</v>
      </c>
      <c r="M763" t="s">
        <v>27</v>
      </c>
      <c r="O763" t="s">
        <v>37</v>
      </c>
      <c r="Q763">
        <f t="shared" si="44"/>
        <v>1</v>
      </c>
      <c r="R763" s="3">
        <f t="shared" si="45"/>
        <v>5</v>
      </c>
      <c r="S763">
        <f t="shared" si="46"/>
        <v>0</v>
      </c>
      <c r="T763">
        <f t="shared" si="47"/>
        <v>0</v>
      </c>
    </row>
    <row r="764" spans="1:20" x14ac:dyDescent="0.25">
      <c r="A764" t="s">
        <v>830</v>
      </c>
      <c r="B764">
        <v>763</v>
      </c>
      <c r="C764" t="s">
        <v>51</v>
      </c>
      <c r="D764" t="s">
        <v>22</v>
      </c>
      <c r="E764" t="s">
        <v>40</v>
      </c>
      <c r="F764" s="2">
        <v>45897</v>
      </c>
      <c r="G764" s="2">
        <v>45898</v>
      </c>
      <c r="H764" t="s">
        <v>45</v>
      </c>
      <c r="I764" t="s">
        <v>42</v>
      </c>
      <c r="J764" s="2">
        <v>45900</v>
      </c>
      <c r="K764" s="2">
        <v>45900</v>
      </c>
      <c r="L764" t="s">
        <v>46</v>
      </c>
      <c r="M764" t="s">
        <v>57</v>
      </c>
      <c r="O764" t="s">
        <v>43</v>
      </c>
      <c r="Q764">
        <f t="shared" si="44"/>
        <v>1</v>
      </c>
      <c r="R764" s="3">
        <f t="shared" si="45"/>
        <v>3</v>
      </c>
      <c r="S764">
        <f t="shared" si="46"/>
        <v>0</v>
      </c>
      <c r="T764">
        <f t="shared" si="47"/>
        <v>1</v>
      </c>
    </row>
    <row r="765" spans="1:20" x14ac:dyDescent="0.25">
      <c r="A765" t="s">
        <v>831</v>
      </c>
      <c r="B765">
        <v>764</v>
      </c>
      <c r="C765" t="s">
        <v>59</v>
      </c>
      <c r="D765" t="s">
        <v>30</v>
      </c>
      <c r="E765" t="s">
        <v>56</v>
      </c>
      <c r="F765" s="2">
        <v>45945</v>
      </c>
      <c r="G765" s="2">
        <v>45947</v>
      </c>
      <c r="H765" t="s">
        <v>61</v>
      </c>
      <c r="I765" t="s">
        <v>85</v>
      </c>
      <c r="J765" s="2">
        <v>45949</v>
      </c>
      <c r="K765" s="2">
        <v>45949</v>
      </c>
      <c r="L765" t="s">
        <v>26</v>
      </c>
      <c r="M765" t="s">
        <v>57</v>
      </c>
      <c r="O765" t="s">
        <v>69</v>
      </c>
      <c r="Q765">
        <f t="shared" si="44"/>
        <v>1</v>
      </c>
      <c r="R765" s="3">
        <f t="shared" si="45"/>
        <v>4</v>
      </c>
      <c r="S765">
        <f t="shared" si="46"/>
        <v>0</v>
      </c>
      <c r="T765">
        <f t="shared" si="47"/>
        <v>0</v>
      </c>
    </row>
    <row r="766" spans="1:20" x14ac:dyDescent="0.25">
      <c r="A766" t="s">
        <v>832</v>
      </c>
      <c r="B766">
        <v>765</v>
      </c>
      <c r="C766" t="s">
        <v>59</v>
      </c>
      <c r="D766" t="s">
        <v>39</v>
      </c>
      <c r="E766" t="s">
        <v>23</v>
      </c>
      <c r="F766" s="2">
        <v>45967</v>
      </c>
      <c r="G766" s="2">
        <v>45969</v>
      </c>
      <c r="H766" t="s">
        <v>24</v>
      </c>
      <c r="I766" t="s">
        <v>85</v>
      </c>
      <c r="J766" s="2">
        <v>45972</v>
      </c>
      <c r="K766" s="2">
        <v>45972</v>
      </c>
      <c r="L766" t="s">
        <v>26</v>
      </c>
      <c r="M766" t="s">
        <v>57</v>
      </c>
      <c r="O766" t="s">
        <v>81</v>
      </c>
      <c r="Q766">
        <f t="shared" si="44"/>
        <v>1</v>
      </c>
      <c r="R766" s="3">
        <f t="shared" si="45"/>
        <v>5</v>
      </c>
      <c r="S766">
        <f t="shared" si="46"/>
        <v>0</v>
      </c>
      <c r="T766">
        <f t="shared" si="47"/>
        <v>0</v>
      </c>
    </row>
    <row r="767" spans="1:20" x14ac:dyDescent="0.25">
      <c r="A767" t="s">
        <v>833</v>
      </c>
      <c r="B767">
        <v>766</v>
      </c>
      <c r="C767" t="s">
        <v>59</v>
      </c>
      <c r="D767" t="s">
        <v>30</v>
      </c>
      <c r="E767" t="s">
        <v>53</v>
      </c>
      <c r="F767" s="2">
        <v>45865</v>
      </c>
      <c r="G767" s="2">
        <v>45866</v>
      </c>
      <c r="H767" t="s">
        <v>61</v>
      </c>
      <c r="I767" t="s">
        <v>62</v>
      </c>
      <c r="J767" s="2">
        <v>45867</v>
      </c>
      <c r="K767" s="2">
        <v>45867</v>
      </c>
      <c r="L767" t="s">
        <v>26</v>
      </c>
      <c r="M767" t="s">
        <v>57</v>
      </c>
      <c r="O767" t="s">
        <v>43</v>
      </c>
      <c r="Q767">
        <f t="shared" si="44"/>
        <v>1</v>
      </c>
      <c r="R767" s="3">
        <f t="shared" si="45"/>
        <v>2</v>
      </c>
      <c r="S767">
        <f t="shared" si="46"/>
        <v>0</v>
      </c>
      <c r="T767">
        <f t="shared" si="47"/>
        <v>0</v>
      </c>
    </row>
    <row r="768" spans="1:20" x14ac:dyDescent="0.25">
      <c r="A768" t="s">
        <v>834</v>
      </c>
      <c r="B768">
        <v>767</v>
      </c>
      <c r="C768" t="s">
        <v>21</v>
      </c>
      <c r="D768" t="s">
        <v>64</v>
      </c>
      <c r="E768" t="s">
        <v>23</v>
      </c>
      <c r="F768" s="2">
        <v>45985</v>
      </c>
      <c r="G768" s="2">
        <v>45987</v>
      </c>
      <c r="H768" t="s">
        <v>45</v>
      </c>
      <c r="I768" t="s">
        <v>25</v>
      </c>
      <c r="J768" s="2">
        <v>45990</v>
      </c>
      <c r="K768" s="2">
        <v>45993</v>
      </c>
      <c r="L768" t="s">
        <v>46</v>
      </c>
      <c r="M768" t="s">
        <v>32</v>
      </c>
      <c r="N768" t="s">
        <v>67</v>
      </c>
      <c r="O768" t="s">
        <v>37</v>
      </c>
      <c r="P768" t="s">
        <v>71</v>
      </c>
      <c r="Q768">
        <f t="shared" si="44"/>
        <v>0</v>
      </c>
      <c r="R768" s="3">
        <f t="shared" si="45"/>
        <v>5</v>
      </c>
      <c r="S768">
        <f t="shared" si="46"/>
        <v>1</v>
      </c>
      <c r="T768">
        <f t="shared" si="47"/>
        <v>1</v>
      </c>
    </row>
    <row r="769" spans="1:20" x14ac:dyDescent="0.25">
      <c r="A769" t="s">
        <v>835</v>
      </c>
      <c r="B769">
        <v>768</v>
      </c>
      <c r="C769" t="s">
        <v>51</v>
      </c>
      <c r="D769" t="s">
        <v>39</v>
      </c>
      <c r="E769" t="s">
        <v>56</v>
      </c>
      <c r="F769" s="2">
        <v>45787</v>
      </c>
      <c r="G769" s="2">
        <v>45789</v>
      </c>
      <c r="H769" t="s">
        <v>45</v>
      </c>
      <c r="I769" t="s">
        <v>62</v>
      </c>
      <c r="J769" s="2">
        <v>45790</v>
      </c>
      <c r="K769" s="2">
        <v>45790</v>
      </c>
      <c r="L769" t="s">
        <v>26</v>
      </c>
      <c r="M769" t="s">
        <v>57</v>
      </c>
      <c r="O769" t="s">
        <v>37</v>
      </c>
      <c r="Q769">
        <f t="shared" si="44"/>
        <v>1</v>
      </c>
      <c r="R769" s="3">
        <f t="shared" si="45"/>
        <v>3</v>
      </c>
      <c r="S769">
        <f t="shared" si="46"/>
        <v>0</v>
      </c>
      <c r="T769">
        <f t="shared" si="47"/>
        <v>0</v>
      </c>
    </row>
    <row r="770" spans="1:20" x14ac:dyDescent="0.25">
      <c r="A770" t="s">
        <v>836</v>
      </c>
      <c r="B770">
        <v>769</v>
      </c>
      <c r="C770" t="s">
        <v>51</v>
      </c>
      <c r="D770" t="s">
        <v>39</v>
      </c>
      <c r="E770" t="s">
        <v>60</v>
      </c>
      <c r="F770" s="2">
        <v>45773</v>
      </c>
      <c r="G770" s="2">
        <v>45774</v>
      </c>
      <c r="H770" t="s">
        <v>61</v>
      </c>
      <c r="I770" t="s">
        <v>42</v>
      </c>
      <c r="J770" s="2">
        <v>45778</v>
      </c>
      <c r="K770" s="2">
        <v>45778</v>
      </c>
      <c r="L770" t="s">
        <v>46</v>
      </c>
      <c r="M770" t="s">
        <v>27</v>
      </c>
      <c r="O770" t="s">
        <v>34</v>
      </c>
      <c r="Q770">
        <f t="shared" si="44"/>
        <v>1</v>
      </c>
      <c r="R770" s="3">
        <f t="shared" si="45"/>
        <v>5</v>
      </c>
      <c r="S770">
        <f t="shared" si="46"/>
        <v>0</v>
      </c>
      <c r="T770">
        <f t="shared" si="47"/>
        <v>1</v>
      </c>
    </row>
    <row r="771" spans="1:20" x14ac:dyDescent="0.25">
      <c r="A771" t="s">
        <v>837</v>
      </c>
      <c r="B771">
        <v>770</v>
      </c>
      <c r="C771" t="s">
        <v>78</v>
      </c>
      <c r="D771" t="s">
        <v>39</v>
      </c>
      <c r="E771" t="s">
        <v>60</v>
      </c>
      <c r="F771" s="2">
        <v>45789</v>
      </c>
      <c r="G771" s="2">
        <v>45790</v>
      </c>
      <c r="H771" t="s">
        <v>41</v>
      </c>
      <c r="I771" t="s">
        <v>83</v>
      </c>
      <c r="J771" s="2">
        <v>45793</v>
      </c>
      <c r="K771" s="2">
        <v>45793</v>
      </c>
      <c r="L771" t="s">
        <v>26</v>
      </c>
      <c r="M771" t="s">
        <v>27</v>
      </c>
      <c r="O771" t="s">
        <v>37</v>
      </c>
      <c r="Q771">
        <f t="shared" ref="Q771:Q834" si="48">IF(K771&lt;=J771,1,0)</f>
        <v>1</v>
      </c>
      <c r="R771" s="3">
        <f t="shared" ref="R771:R834" si="49">(J771-F771)</f>
        <v>4</v>
      </c>
      <c r="S771">
        <f t="shared" ref="S771:S834" si="50">IF(M771="Delayed",1,0)</f>
        <v>0</v>
      </c>
      <c r="T771">
        <f t="shared" ref="T771:T834" si="51">IF(L771="n",1,0)</f>
        <v>0</v>
      </c>
    </row>
    <row r="772" spans="1:20" x14ac:dyDescent="0.25">
      <c r="A772" t="s">
        <v>838</v>
      </c>
      <c r="B772">
        <v>771</v>
      </c>
      <c r="C772" t="s">
        <v>78</v>
      </c>
      <c r="D772" t="s">
        <v>64</v>
      </c>
      <c r="E772" t="s">
        <v>40</v>
      </c>
      <c r="F772" s="2">
        <v>45933</v>
      </c>
      <c r="G772" s="2">
        <v>45934</v>
      </c>
      <c r="H772" t="s">
        <v>41</v>
      </c>
      <c r="I772" t="s">
        <v>73</v>
      </c>
      <c r="J772" s="2">
        <v>45937</v>
      </c>
      <c r="K772" s="2">
        <v>45937</v>
      </c>
      <c r="L772" t="s">
        <v>26</v>
      </c>
      <c r="M772" t="s">
        <v>57</v>
      </c>
      <c r="O772" t="s">
        <v>28</v>
      </c>
      <c r="Q772">
        <f t="shared" si="48"/>
        <v>1</v>
      </c>
      <c r="R772" s="3">
        <f t="shared" si="49"/>
        <v>4</v>
      </c>
      <c r="S772">
        <f t="shared" si="50"/>
        <v>0</v>
      </c>
      <c r="T772">
        <f t="shared" si="51"/>
        <v>0</v>
      </c>
    </row>
    <row r="773" spans="1:20" x14ac:dyDescent="0.25">
      <c r="A773" t="s">
        <v>839</v>
      </c>
      <c r="B773">
        <v>772</v>
      </c>
      <c r="C773" t="s">
        <v>21</v>
      </c>
      <c r="D773" t="s">
        <v>52</v>
      </c>
      <c r="E773" t="s">
        <v>40</v>
      </c>
      <c r="F773" s="2">
        <v>46006</v>
      </c>
      <c r="G773" s="2">
        <v>46006</v>
      </c>
      <c r="H773" t="s">
        <v>31</v>
      </c>
      <c r="I773" t="s">
        <v>83</v>
      </c>
      <c r="J773" s="2">
        <v>46010</v>
      </c>
      <c r="K773" s="2">
        <v>46010</v>
      </c>
      <c r="L773" t="s">
        <v>26</v>
      </c>
      <c r="M773" t="s">
        <v>27</v>
      </c>
      <c r="O773" t="s">
        <v>37</v>
      </c>
      <c r="P773" t="s">
        <v>93</v>
      </c>
      <c r="Q773">
        <f t="shared" si="48"/>
        <v>1</v>
      </c>
      <c r="R773" s="3">
        <f t="shared" si="49"/>
        <v>4</v>
      </c>
      <c r="S773">
        <f t="shared" si="50"/>
        <v>0</v>
      </c>
      <c r="T773">
        <f t="shared" si="51"/>
        <v>0</v>
      </c>
    </row>
    <row r="774" spans="1:20" x14ac:dyDescent="0.25">
      <c r="A774" t="s">
        <v>840</v>
      </c>
      <c r="B774">
        <v>773</v>
      </c>
      <c r="C774" t="s">
        <v>51</v>
      </c>
      <c r="D774" t="s">
        <v>30</v>
      </c>
      <c r="E774" t="s">
        <v>53</v>
      </c>
      <c r="F774" s="2">
        <v>45862</v>
      </c>
      <c r="G774" s="2">
        <v>45864</v>
      </c>
      <c r="H774" t="s">
        <v>24</v>
      </c>
      <c r="I774" t="s">
        <v>54</v>
      </c>
      <c r="J774" s="2">
        <v>45867</v>
      </c>
      <c r="K774" s="2">
        <v>45867</v>
      </c>
      <c r="L774" t="s">
        <v>26</v>
      </c>
      <c r="M774" t="s">
        <v>57</v>
      </c>
      <c r="O774" t="s">
        <v>43</v>
      </c>
      <c r="Q774">
        <f t="shared" si="48"/>
        <v>1</v>
      </c>
      <c r="R774" s="3">
        <f t="shared" si="49"/>
        <v>5</v>
      </c>
      <c r="S774">
        <f t="shared" si="50"/>
        <v>0</v>
      </c>
      <c r="T774">
        <f t="shared" si="51"/>
        <v>0</v>
      </c>
    </row>
    <row r="775" spans="1:20" x14ac:dyDescent="0.25">
      <c r="A775" t="s">
        <v>841</v>
      </c>
      <c r="B775">
        <v>774</v>
      </c>
      <c r="C775" t="s">
        <v>21</v>
      </c>
      <c r="D775" t="s">
        <v>64</v>
      </c>
      <c r="E775" t="s">
        <v>23</v>
      </c>
      <c r="F775" s="2">
        <v>45953</v>
      </c>
      <c r="G775" s="2">
        <v>45953</v>
      </c>
      <c r="H775" t="s">
        <v>41</v>
      </c>
      <c r="I775" t="s">
        <v>25</v>
      </c>
      <c r="J775" s="2">
        <v>45955</v>
      </c>
      <c r="K775" s="2">
        <v>45955</v>
      </c>
      <c r="L775" t="s">
        <v>26</v>
      </c>
      <c r="M775" t="s">
        <v>27</v>
      </c>
      <c r="O775" t="s">
        <v>34</v>
      </c>
      <c r="Q775">
        <f t="shared" si="48"/>
        <v>1</v>
      </c>
      <c r="R775" s="3">
        <f t="shared" si="49"/>
        <v>2</v>
      </c>
      <c r="S775">
        <f t="shared" si="50"/>
        <v>0</v>
      </c>
      <c r="T775">
        <f t="shared" si="51"/>
        <v>0</v>
      </c>
    </row>
    <row r="776" spans="1:20" x14ac:dyDescent="0.25">
      <c r="A776" t="s">
        <v>842</v>
      </c>
      <c r="B776">
        <v>775</v>
      </c>
      <c r="C776" t="s">
        <v>51</v>
      </c>
      <c r="D776" t="s">
        <v>30</v>
      </c>
      <c r="E776" t="s">
        <v>53</v>
      </c>
      <c r="F776" s="2">
        <v>45741</v>
      </c>
      <c r="G776" s="2">
        <v>45741</v>
      </c>
      <c r="H776" t="s">
        <v>31</v>
      </c>
      <c r="I776" t="s">
        <v>54</v>
      </c>
      <c r="J776" s="2">
        <v>45742</v>
      </c>
      <c r="K776" s="2">
        <v>45742</v>
      </c>
      <c r="L776" t="s">
        <v>46</v>
      </c>
      <c r="M776" t="s">
        <v>57</v>
      </c>
      <c r="O776" t="s">
        <v>69</v>
      </c>
      <c r="Q776">
        <f t="shared" si="48"/>
        <v>1</v>
      </c>
      <c r="R776" s="3">
        <f t="shared" si="49"/>
        <v>1</v>
      </c>
      <c r="S776">
        <f t="shared" si="50"/>
        <v>0</v>
      </c>
      <c r="T776">
        <f t="shared" si="51"/>
        <v>1</v>
      </c>
    </row>
    <row r="777" spans="1:20" x14ac:dyDescent="0.25">
      <c r="A777" t="s">
        <v>843</v>
      </c>
      <c r="B777">
        <v>776</v>
      </c>
      <c r="C777" t="s">
        <v>21</v>
      </c>
      <c r="D777" t="s">
        <v>30</v>
      </c>
      <c r="E777" t="s">
        <v>53</v>
      </c>
      <c r="F777" s="2">
        <v>45887</v>
      </c>
      <c r="G777" s="2">
        <v>45889</v>
      </c>
      <c r="H777" t="s">
        <v>24</v>
      </c>
      <c r="I777" t="s">
        <v>25</v>
      </c>
      <c r="J777" s="2">
        <v>45891</v>
      </c>
      <c r="K777" s="2">
        <v>45892</v>
      </c>
      <c r="L777" t="s">
        <v>26</v>
      </c>
      <c r="M777" t="s">
        <v>27</v>
      </c>
      <c r="O777" t="s">
        <v>69</v>
      </c>
      <c r="Q777">
        <f t="shared" si="48"/>
        <v>0</v>
      </c>
      <c r="R777" s="3">
        <f t="shared" si="49"/>
        <v>4</v>
      </c>
      <c r="S777">
        <f t="shared" si="50"/>
        <v>0</v>
      </c>
      <c r="T777">
        <f t="shared" si="51"/>
        <v>0</v>
      </c>
    </row>
    <row r="778" spans="1:20" x14ac:dyDescent="0.25">
      <c r="A778" t="s">
        <v>844</v>
      </c>
      <c r="B778">
        <v>777</v>
      </c>
      <c r="C778" t="s">
        <v>78</v>
      </c>
      <c r="D778" t="s">
        <v>52</v>
      </c>
      <c r="E778" t="s">
        <v>56</v>
      </c>
      <c r="F778" s="2">
        <v>45848</v>
      </c>
      <c r="G778" s="2">
        <v>45849</v>
      </c>
      <c r="H778" t="s">
        <v>45</v>
      </c>
      <c r="I778" t="s">
        <v>62</v>
      </c>
      <c r="J778" s="2">
        <v>45855</v>
      </c>
      <c r="K778" s="2">
        <v>45855</v>
      </c>
      <c r="L778" t="s">
        <v>26</v>
      </c>
      <c r="M778" t="s">
        <v>57</v>
      </c>
      <c r="O778" t="s">
        <v>81</v>
      </c>
      <c r="Q778">
        <f t="shared" si="48"/>
        <v>1</v>
      </c>
      <c r="R778" s="3">
        <f t="shared" si="49"/>
        <v>7</v>
      </c>
      <c r="S778">
        <f t="shared" si="50"/>
        <v>0</v>
      </c>
      <c r="T778">
        <f t="shared" si="51"/>
        <v>0</v>
      </c>
    </row>
    <row r="779" spans="1:20" x14ac:dyDescent="0.25">
      <c r="A779" t="s">
        <v>845</v>
      </c>
      <c r="B779">
        <v>778</v>
      </c>
      <c r="C779" t="s">
        <v>51</v>
      </c>
      <c r="D779" t="s">
        <v>64</v>
      </c>
      <c r="E779" t="s">
        <v>60</v>
      </c>
      <c r="F779" s="2">
        <v>45850</v>
      </c>
      <c r="G779" s="2">
        <v>45852</v>
      </c>
      <c r="H779" t="s">
        <v>24</v>
      </c>
      <c r="I779" t="s">
        <v>62</v>
      </c>
      <c r="J779" s="2">
        <v>45857</v>
      </c>
      <c r="K779" s="2">
        <v>45857</v>
      </c>
      <c r="L779" t="s">
        <v>26</v>
      </c>
      <c r="M779" t="s">
        <v>27</v>
      </c>
      <c r="O779" t="s">
        <v>37</v>
      </c>
      <c r="P779" t="s">
        <v>93</v>
      </c>
      <c r="Q779">
        <f t="shared" si="48"/>
        <v>1</v>
      </c>
      <c r="R779" s="3">
        <f t="shared" si="49"/>
        <v>7</v>
      </c>
      <c r="S779">
        <f t="shared" si="50"/>
        <v>0</v>
      </c>
      <c r="T779">
        <f t="shared" si="51"/>
        <v>0</v>
      </c>
    </row>
    <row r="780" spans="1:20" x14ac:dyDescent="0.25">
      <c r="A780" t="s">
        <v>846</v>
      </c>
      <c r="B780">
        <v>779</v>
      </c>
      <c r="C780" t="s">
        <v>36</v>
      </c>
      <c r="D780" t="s">
        <v>22</v>
      </c>
      <c r="E780" t="s">
        <v>60</v>
      </c>
      <c r="F780" s="2">
        <v>45723</v>
      </c>
      <c r="G780" s="2">
        <v>45723</v>
      </c>
      <c r="H780" t="s">
        <v>24</v>
      </c>
      <c r="I780" t="s">
        <v>54</v>
      </c>
      <c r="J780" s="2">
        <v>45725</v>
      </c>
      <c r="K780" s="2">
        <v>45725</v>
      </c>
      <c r="L780" t="s">
        <v>26</v>
      </c>
      <c r="M780" t="s">
        <v>57</v>
      </c>
      <c r="O780" t="s">
        <v>28</v>
      </c>
      <c r="Q780">
        <f t="shared" si="48"/>
        <v>1</v>
      </c>
      <c r="R780" s="3">
        <f t="shared" si="49"/>
        <v>2</v>
      </c>
      <c r="S780">
        <f t="shared" si="50"/>
        <v>0</v>
      </c>
      <c r="T780">
        <f t="shared" si="51"/>
        <v>0</v>
      </c>
    </row>
    <row r="781" spans="1:20" x14ac:dyDescent="0.25">
      <c r="A781" t="s">
        <v>847</v>
      </c>
      <c r="B781">
        <v>780</v>
      </c>
      <c r="C781" t="s">
        <v>78</v>
      </c>
      <c r="D781" t="s">
        <v>52</v>
      </c>
      <c r="E781" t="s">
        <v>40</v>
      </c>
      <c r="F781" s="2">
        <v>45915</v>
      </c>
      <c r="G781" s="2">
        <v>45915</v>
      </c>
      <c r="H781" t="s">
        <v>61</v>
      </c>
      <c r="I781" t="s">
        <v>54</v>
      </c>
      <c r="J781" s="2">
        <v>45916</v>
      </c>
      <c r="K781" s="2">
        <v>45916</v>
      </c>
      <c r="L781" t="s">
        <v>26</v>
      </c>
      <c r="M781" t="s">
        <v>57</v>
      </c>
      <c r="O781" t="s">
        <v>37</v>
      </c>
      <c r="Q781">
        <f t="shared" si="48"/>
        <v>1</v>
      </c>
      <c r="R781" s="3">
        <f t="shared" si="49"/>
        <v>1</v>
      </c>
      <c r="S781">
        <f t="shared" si="50"/>
        <v>0</v>
      </c>
      <c r="T781">
        <f t="shared" si="51"/>
        <v>0</v>
      </c>
    </row>
    <row r="782" spans="1:20" x14ac:dyDescent="0.25">
      <c r="A782" t="s">
        <v>848</v>
      </c>
      <c r="B782">
        <v>781</v>
      </c>
      <c r="C782" t="s">
        <v>51</v>
      </c>
      <c r="D782" t="s">
        <v>22</v>
      </c>
      <c r="E782" t="s">
        <v>56</v>
      </c>
      <c r="F782" s="2">
        <v>45928</v>
      </c>
      <c r="G782" s="2">
        <v>45929</v>
      </c>
      <c r="H782" t="s">
        <v>31</v>
      </c>
      <c r="I782" t="s">
        <v>62</v>
      </c>
      <c r="J782" s="2">
        <v>45932</v>
      </c>
      <c r="K782" s="2">
        <v>45935</v>
      </c>
      <c r="L782" t="s">
        <v>46</v>
      </c>
      <c r="M782" t="s">
        <v>32</v>
      </c>
      <c r="N782" t="s">
        <v>67</v>
      </c>
      <c r="O782" t="s">
        <v>81</v>
      </c>
      <c r="Q782">
        <f t="shared" si="48"/>
        <v>0</v>
      </c>
      <c r="R782" s="3">
        <f t="shared" si="49"/>
        <v>4</v>
      </c>
      <c r="S782">
        <f t="shared" si="50"/>
        <v>1</v>
      </c>
      <c r="T782">
        <f t="shared" si="51"/>
        <v>1</v>
      </c>
    </row>
    <row r="783" spans="1:20" x14ac:dyDescent="0.25">
      <c r="A783" t="s">
        <v>849</v>
      </c>
      <c r="B783">
        <v>782</v>
      </c>
      <c r="C783" t="s">
        <v>78</v>
      </c>
      <c r="D783" t="s">
        <v>30</v>
      </c>
      <c r="E783" t="s">
        <v>60</v>
      </c>
      <c r="F783" s="2">
        <v>45902</v>
      </c>
      <c r="G783" s="2">
        <v>45902</v>
      </c>
      <c r="H783" t="s">
        <v>31</v>
      </c>
      <c r="I783" t="s">
        <v>25</v>
      </c>
      <c r="J783" s="2">
        <v>45905</v>
      </c>
      <c r="K783" s="2">
        <v>45905</v>
      </c>
      <c r="L783" t="s">
        <v>26</v>
      </c>
      <c r="M783" t="s">
        <v>27</v>
      </c>
      <c r="O783" t="s">
        <v>34</v>
      </c>
      <c r="Q783">
        <f t="shared" si="48"/>
        <v>1</v>
      </c>
      <c r="R783" s="3">
        <f t="shared" si="49"/>
        <v>3</v>
      </c>
      <c r="S783">
        <f t="shared" si="50"/>
        <v>0</v>
      </c>
      <c r="T783">
        <f t="shared" si="51"/>
        <v>0</v>
      </c>
    </row>
    <row r="784" spans="1:20" x14ac:dyDescent="0.25">
      <c r="A784" t="s">
        <v>850</v>
      </c>
      <c r="B784">
        <v>783</v>
      </c>
      <c r="C784" t="s">
        <v>36</v>
      </c>
      <c r="D784" t="s">
        <v>39</v>
      </c>
      <c r="E784" t="s">
        <v>40</v>
      </c>
      <c r="F784" s="2">
        <v>45936</v>
      </c>
      <c r="G784" s="2">
        <v>45938</v>
      </c>
      <c r="H784" t="s">
        <v>61</v>
      </c>
      <c r="I784" t="s">
        <v>42</v>
      </c>
      <c r="J784" s="2">
        <v>45942</v>
      </c>
      <c r="K784" s="2">
        <v>45942</v>
      </c>
      <c r="L784" t="s">
        <v>26</v>
      </c>
      <c r="M784" t="s">
        <v>27</v>
      </c>
      <c r="O784" t="s">
        <v>37</v>
      </c>
      <c r="Q784">
        <f t="shared" si="48"/>
        <v>1</v>
      </c>
      <c r="R784" s="3">
        <f t="shared" si="49"/>
        <v>6</v>
      </c>
      <c r="S784">
        <f t="shared" si="50"/>
        <v>0</v>
      </c>
      <c r="T784">
        <f t="shared" si="51"/>
        <v>0</v>
      </c>
    </row>
    <row r="785" spans="1:20" x14ac:dyDescent="0.25">
      <c r="A785" t="s">
        <v>851</v>
      </c>
      <c r="B785">
        <v>784</v>
      </c>
      <c r="C785" t="s">
        <v>59</v>
      </c>
      <c r="D785" t="s">
        <v>30</v>
      </c>
      <c r="E785" t="s">
        <v>60</v>
      </c>
      <c r="F785" s="2">
        <v>45844</v>
      </c>
      <c r="G785" s="2">
        <v>45844</v>
      </c>
      <c r="H785" t="s">
        <v>24</v>
      </c>
      <c r="I785" t="s">
        <v>62</v>
      </c>
      <c r="J785" s="2">
        <v>45847</v>
      </c>
      <c r="K785" s="2">
        <v>45847</v>
      </c>
      <c r="L785" t="s">
        <v>26</v>
      </c>
      <c r="M785" t="s">
        <v>57</v>
      </c>
      <c r="O785" t="s">
        <v>81</v>
      </c>
      <c r="P785" t="s">
        <v>93</v>
      </c>
      <c r="Q785">
        <f t="shared" si="48"/>
        <v>1</v>
      </c>
      <c r="R785" s="3">
        <f t="shared" si="49"/>
        <v>3</v>
      </c>
      <c r="S785">
        <f t="shared" si="50"/>
        <v>0</v>
      </c>
      <c r="T785">
        <f t="shared" si="51"/>
        <v>0</v>
      </c>
    </row>
    <row r="786" spans="1:20" x14ac:dyDescent="0.25">
      <c r="A786" t="s">
        <v>852</v>
      </c>
      <c r="B786">
        <v>785</v>
      </c>
      <c r="C786" t="s">
        <v>21</v>
      </c>
      <c r="D786" t="s">
        <v>52</v>
      </c>
      <c r="E786" t="s">
        <v>60</v>
      </c>
      <c r="F786" s="2">
        <v>45975</v>
      </c>
      <c r="G786" s="2">
        <v>45977</v>
      </c>
      <c r="H786" t="s">
        <v>24</v>
      </c>
      <c r="I786" t="s">
        <v>42</v>
      </c>
      <c r="J786" s="2">
        <v>45978</v>
      </c>
      <c r="K786" s="2">
        <v>45978</v>
      </c>
      <c r="L786" t="s">
        <v>26</v>
      </c>
      <c r="M786" t="s">
        <v>27</v>
      </c>
      <c r="O786" t="s">
        <v>28</v>
      </c>
      <c r="P786" t="s">
        <v>88</v>
      </c>
      <c r="Q786">
        <f t="shared" si="48"/>
        <v>1</v>
      </c>
      <c r="R786" s="3">
        <f t="shared" si="49"/>
        <v>3</v>
      </c>
      <c r="S786">
        <f t="shared" si="50"/>
        <v>0</v>
      </c>
      <c r="T786">
        <f t="shared" si="51"/>
        <v>0</v>
      </c>
    </row>
    <row r="787" spans="1:20" x14ac:dyDescent="0.25">
      <c r="A787" t="s">
        <v>853</v>
      </c>
      <c r="B787">
        <v>786</v>
      </c>
      <c r="C787" t="s">
        <v>78</v>
      </c>
      <c r="D787" t="s">
        <v>22</v>
      </c>
      <c r="E787" t="s">
        <v>53</v>
      </c>
      <c r="F787" s="2">
        <v>45877</v>
      </c>
      <c r="G787" s="2">
        <v>45879</v>
      </c>
      <c r="H787" t="s">
        <v>24</v>
      </c>
      <c r="I787" t="s">
        <v>62</v>
      </c>
      <c r="J787" s="2">
        <v>45880</v>
      </c>
      <c r="K787" s="2">
        <v>45880</v>
      </c>
      <c r="L787" t="s">
        <v>26</v>
      </c>
      <c r="M787" t="s">
        <v>57</v>
      </c>
      <c r="O787" t="s">
        <v>28</v>
      </c>
      <c r="Q787">
        <f t="shared" si="48"/>
        <v>1</v>
      </c>
      <c r="R787" s="3">
        <f t="shared" si="49"/>
        <v>3</v>
      </c>
      <c r="S787">
        <f t="shared" si="50"/>
        <v>0</v>
      </c>
      <c r="T787">
        <f t="shared" si="51"/>
        <v>0</v>
      </c>
    </row>
    <row r="788" spans="1:20" x14ac:dyDescent="0.25">
      <c r="A788" t="s">
        <v>854</v>
      </c>
      <c r="B788">
        <v>787</v>
      </c>
      <c r="C788" t="s">
        <v>36</v>
      </c>
      <c r="D788" t="s">
        <v>64</v>
      </c>
      <c r="E788" t="s">
        <v>60</v>
      </c>
      <c r="F788" s="2">
        <v>46001</v>
      </c>
      <c r="G788" s="2">
        <v>46003</v>
      </c>
      <c r="H788" t="s">
        <v>41</v>
      </c>
      <c r="I788" t="s">
        <v>83</v>
      </c>
      <c r="J788" s="2">
        <v>46007</v>
      </c>
      <c r="K788" s="2">
        <v>46007</v>
      </c>
      <c r="L788" t="s">
        <v>46</v>
      </c>
      <c r="M788" t="s">
        <v>27</v>
      </c>
      <c r="O788" t="s">
        <v>43</v>
      </c>
      <c r="Q788">
        <f t="shared" si="48"/>
        <v>1</v>
      </c>
      <c r="R788" s="3">
        <f t="shared" si="49"/>
        <v>6</v>
      </c>
      <c r="S788">
        <f t="shared" si="50"/>
        <v>0</v>
      </c>
      <c r="T788">
        <f t="shared" si="51"/>
        <v>1</v>
      </c>
    </row>
    <row r="789" spans="1:20" x14ac:dyDescent="0.25">
      <c r="A789" t="s">
        <v>855</v>
      </c>
      <c r="B789">
        <v>788</v>
      </c>
      <c r="C789" t="s">
        <v>36</v>
      </c>
      <c r="D789" t="s">
        <v>39</v>
      </c>
      <c r="E789" t="s">
        <v>56</v>
      </c>
      <c r="F789" s="2">
        <v>45830</v>
      </c>
      <c r="G789" s="2">
        <v>45832</v>
      </c>
      <c r="H789" t="s">
        <v>61</v>
      </c>
      <c r="I789" t="s">
        <v>73</v>
      </c>
      <c r="J789" s="2">
        <v>45833</v>
      </c>
      <c r="K789" s="2">
        <v>45833</v>
      </c>
      <c r="L789" t="s">
        <v>26</v>
      </c>
      <c r="M789" t="s">
        <v>57</v>
      </c>
      <c r="O789" t="s">
        <v>69</v>
      </c>
      <c r="P789" t="s">
        <v>76</v>
      </c>
      <c r="Q789">
        <f t="shared" si="48"/>
        <v>1</v>
      </c>
      <c r="R789" s="3">
        <f t="shared" si="49"/>
        <v>3</v>
      </c>
      <c r="S789">
        <f t="shared" si="50"/>
        <v>0</v>
      </c>
      <c r="T789">
        <f t="shared" si="51"/>
        <v>0</v>
      </c>
    </row>
    <row r="790" spans="1:20" x14ac:dyDescent="0.25">
      <c r="A790" t="s">
        <v>856</v>
      </c>
      <c r="B790">
        <v>789</v>
      </c>
      <c r="C790" t="s">
        <v>78</v>
      </c>
      <c r="D790" t="s">
        <v>64</v>
      </c>
      <c r="E790" t="s">
        <v>53</v>
      </c>
      <c r="F790" s="2">
        <v>45934</v>
      </c>
      <c r="G790" s="2">
        <v>45936</v>
      </c>
      <c r="H790" t="s">
        <v>41</v>
      </c>
      <c r="I790" t="s">
        <v>85</v>
      </c>
      <c r="J790" s="2">
        <v>45941</v>
      </c>
      <c r="K790" s="2">
        <v>45941</v>
      </c>
      <c r="L790" t="s">
        <v>26</v>
      </c>
      <c r="M790" t="s">
        <v>27</v>
      </c>
      <c r="O790" t="s">
        <v>81</v>
      </c>
      <c r="P790" t="s">
        <v>88</v>
      </c>
      <c r="Q790">
        <f t="shared" si="48"/>
        <v>1</v>
      </c>
      <c r="R790" s="3">
        <f t="shared" si="49"/>
        <v>7</v>
      </c>
      <c r="S790">
        <f t="shared" si="50"/>
        <v>0</v>
      </c>
      <c r="T790">
        <f t="shared" si="51"/>
        <v>0</v>
      </c>
    </row>
    <row r="791" spans="1:20" x14ac:dyDescent="0.25">
      <c r="A791" t="s">
        <v>857</v>
      </c>
      <c r="B791">
        <v>790</v>
      </c>
      <c r="C791" t="s">
        <v>21</v>
      </c>
      <c r="D791" t="s">
        <v>52</v>
      </c>
      <c r="E791" t="s">
        <v>56</v>
      </c>
      <c r="F791" s="2">
        <v>45759</v>
      </c>
      <c r="G791" s="2">
        <v>45761</v>
      </c>
      <c r="H791" t="s">
        <v>61</v>
      </c>
      <c r="I791" t="s">
        <v>25</v>
      </c>
      <c r="J791" s="2">
        <v>45765</v>
      </c>
      <c r="K791" s="2">
        <v>45765</v>
      </c>
      <c r="L791" t="s">
        <v>26</v>
      </c>
      <c r="M791" t="s">
        <v>27</v>
      </c>
      <c r="O791" t="s">
        <v>28</v>
      </c>
      <c r="Q791">
        <f t="shared" si="48"/>
        <v>1</v>
      </c>
      <c r="R791" s="3">
        <f t="shared" si="49"/>
        <v>6</v>
      </c>
      <c r="S791">
        <f t="shared" si="50"/>
        <v>0</v>
      </c>
      <c r="T791">
        <f t="shared" si="51"/>
        <v>0</v>
      </c>
    </row>
    <row r="792" spans="1:20" x14ac:dyDescent="0.25">
      <c r="A792" t="s">
        <v>858</v>
      </c>
      <c r="B792">
        <v>791</v>
      </c>
      <c r="C792" t="s">
        <v>21</v>
      </c>
      <c r="D792" t="s">
        <v>22</v>
      </c>
      <c r="E792" t="s">
        <v>56</v>
      </c>
      <c r="F792" s="2">
        <v>45699</v>
      </c>
      <c r="G792" s="2">
        <v>45701</v>
      </c>
      <c r="H792" t="s">
        <v>61</v>
      </c>
      <c r="I792" t="s">
        <v>62</v>
      </c>
      <c r="J792" s="2">
        <v>45703</v>
      </c>
      <c r="K792" s="2">
        <v>45703</v>
      </c>
      <c r="L792" t="s">
        <v>46</v>
      </c>
      <c r="M792" t="s">
        <v>57</v>
      </c>
      <c r="O792" t="s">
        <v>69</v>
      </c>
      <c r="Q792">
        <f t="shared" si="48"/>
        <v>1</v>
      </c>
      <c r="R792" s="3">
        <f t="shared" si="49"/>
        <v>4</v>
      </c>
      <c r="S792">
        <f t="shared" si="50"/>
        <v>0</v>
      </c>
      <c r="T792">
        <f t="shared" si="51"/>
        <v>1</v>
      </c>
    </row>
    <row r="793" spans="1:20" x14ac:dyDescent="0.25">
      <c r="A793" t="s">
        <v>859</v>
      </c>
      <c r="B793">
        <v>792</v>
      </c>
      <c r="C793" t="s">
        <v>59</v>
      </c>
      <c r="D793" t="s">
        <v>30</v>
      </c>
      <c r="E793" t="s">
        <v>56</v>
      </c>
      <c r="F793" s="2">
        <v>45993</v>
      </c>
      <c r="G793" s="2">
        <v>45994</v>
      </c>
      <c r="H793" t="s">
        <v>24</v>
      </c>
      <c r="I793" t="s">
        <v>42</v>
      </c>
      <c r="J793" s="2">
        <v>45997</v>
      </c>
      <c r="K793" s="2">
        <v>45997</v>
      </c>
      <c r="L793" t="s">
        <v>46</v>
      </c>
      <c r="M793" t="s">
        <v>57</v>
      </c>
      <c r="O793" t="s">
        <v>69</v>
      </c>
      <c r="Q793">
        <f t="shared" si="48"/>
        <v>1</v>
      </c>
      <c r="R793" s="3">
        <f t="shared" si="49"/>
        <v>4</v>
      </c>
      <c r="S793">
        <f t="shared" si="50"/>
        <v>0</v>
      </c>
      <c r="T793">
        <f t="shared" si="51"/>
        <v>1</v>
      </c>
    </row>
    <row r="794" spans="1:20" x14ac:dyDescent="0.25">
      <c r="A794" t="s">
        <v>860</v>
      </c>
      <c r="B794">
        <v>793</v>
      </c>
      <c r="C794" t="s">
        <v>78</v>
      </c>
      <c r="D794" t="s">
        <v>39</v>
      </c>
      <c r="E794" t="s">
        <v>23</v>
      </c>
      <c r="F794" s="2">
        <v>45818</v>
      </c>
      <c r="G794" s="2">
        <v>45818</v>
      </c>
      <c r="H794" t="s">
        <v>31</v>
      </c>
      <c r="I794" t="s">
        <v>25</v>
      </c>
      <c r="J794" s="2">
        <v>45819</v>
      </c>
      <c r="K794" s="2">
        <v>45819</v>
      </c>
      <c r="L794" t="s">
        <v>26</v>
      </c>
      <c r="M794" t="s">
        <v>27</v>
      </c>
      <c r="O794" t="s">
        <v>43</v>
      </c>
      <c r="Q794">
        <f t="shared" si="48"/>
        <v>1</v>
      </c>
      <c r="R794" s="3">
        <f t="shared" si="49"/>
        <v>1</v>
      </c>
      <c r="S794">
        <f t="shared" si="50"/>
        <v>0</v>
      </c>
      <c r="T794">
        <f t="shared" si="51"/>
        <v>0</v>
      </c>
    </row>
    <row r="795" spans="1:20" x14ac:dyDescent="0.25">
      <c r="A795" t="s">
        <v>861</v>
      </c>
      <c r="B795">
        <v>794</v>
      </c>
      <c r="C795" t="s">
        <v>36</v>
      </c>
      <c r="D795" t="s">
        <v>39</v>
      </c>
      <c r="E795" t="s">
        <v>56</v>
      </c>
      <c r="F795" s="2">
        <v>45684</v>
      </c>
      <c r="G795" s="2">
        <v>45685</v>
      </c>
      <c r="H795" t="s">
        <v>45</v>
      </c>
      <c r="I795" t="s">
        <v>42</v>
      </c>
      <c r="J795" s="2">
        <v>45689</v>
      </c>
      <c r="K795" s="2">
        <v>45690</v>
      </c>
      <c r="L795" t="s">
        <v>46</v>
      </c>
      <c r="M795" t="s">
        <v>32</v>
      </c>
      <c r="N795" t="s">
        <v>264</v>
      </c>
      <c r="O795" t="s">
        <v>34</v>
      </c>
      <c r="Q795">
        <f t="shared" si="48"/>
        <v>0</v>
      </c>
      <c r="R795" s="3">
        <f t="shared" si="49"/>
        <v>5</v>
      </c>
      <c r="S795">
        <f t="shared" si="50"/>
        <v>1</v>
      </c>
      <c r="T795">
        <f t="shared" si="51"/>
        <v>1</v>
      </c>
    </row>
    <row r="796" spans="1:20" x14ac:dyDescent="0.25">
      <c r="A796" t="s">
        <v>862</v>
      </c>
      <c r="B796">
        <v>795</v>
      </c>
      <c r="C796" t="s">
        <v>36</v>
      </c>
      <c r="D796" t="s">
        <v>52</v>
      </c>
      <c r="E796" t="s">
        <v>40</v>
      </c>
      <c r="F796" s="2">
        <v>45915</v>
      </c>
      <c r="G796" s="2">
        <v>45917</v>
      </c>
      <c r="H796" t="s">
        <v>45</v>
      </c>
      <c r="I796" t="s">
        <v>42</v>
      </c>
      <c r="J796" s="2">
        <v>45920</v>
      </c>
      <c r="K796" s="2">
        <v>45920</v>
      </c>
      <c r="L796" t="s">
        <v>26</v>
      </c>
      <c r="M796" t="s">
        <v>27</v>
      </c>
      <c r="O796" t="s">
        <v>81</v>
      </c>
      <c r="P796" t="s">
        <v>88</v>
      </c>
      <c r="Q796">
        <f t="shared" si="48"/>
        <v>1</v>
      </c>
      <c r="R796" s="3">
        <f t="shared" si="49"/>
        <v>5</v>
      </c>
      <c r="S796">
        <f t="shared" si="50"/>
        <v>0</v>
      </c>
      <c r="T796">
        <f t="shared" si="51"/>
        <v>0</v>
      </c>
    </row>
    <row r="797" spans="1:20" x14ac:dyDescent="0.25">
      <c r="A797" t="s">
        <v>863</v>
      </c>
      <c r="B797">
        <v>796</v>
      </c>
      <c r="C797" t="s">
        <v>59</v>
      </c>
      <c r="D797" t="s">
        <v>52</v>
      </c>
      <c r="E797" t="s">
        <v>40</v>
      </c>
      <c r="F797" s="2">
        <v>46005</v>
      </c>
      <c r="G797" s="2">
        <v>46006</v>
      </c>
      <c r="H797" t="s">
        <v>24</v>
      </c>
      <c r="I797" t="s">
        <v>42</v>
      </c>
      <c r="J797" s="2">
        <v>46008</v>
      </c>
      <c r="K797" s="2">
        <v>46008</v>
      </c>
      <c r="L797" t="s">
        <v>26</v>
      </c>
      <c r="M797" t="s">
        <v>27</v>
      </c>
      <c r="O797" t="s">
        <v>81</v>
      </c>
      <c r="Q797">
        <f t="shared" si="48"/>
        <v>1</v>
      </c>
      <c r="R797" s="3">
        <f t="shared" si="49"/>
        <v>3</v>
      </c>
      <c r="S797">
        <f t="shared" si="50"/>
        <v>0</v>
      </c>
      <c r="T797">
        <f t="shared" si="51"/>
        <v>0</v>
      </c>
    </row>
    <row r="798" spans="1:20" x14ac:dyDescent="0.25">
      <c r="A798" t="s">
        <v>864</v>
      </c>
      <c r="B798">
        <v>797</v>
      </c>
      <c r="C798" t="s">
        <v>36</v>
      </c>
      <c r="D798" t="s">
        <v>64</v>
      </c>
      <c r="E798" t="s">
        <v>40</v>
      </c>
      <c r="F798" s="2">
        <v>45965</v>
      </c>
      <c r="G798" s="2">
        <v>45967</v>
      </c>
      <c r="H798" t="s">
        <v>41</v>
      </c>
      <c r="I798" t="s">
        <v>25</v>
      </c>
      <c r="J798" s="2">
        <v>45969</v>
      </c>
      <c r="K798" s="2">
        <v>45969</v>
      </c>
      <c r="L798" t="s">
        <v>26</v>
      </c>
      <c r="M798" t="s">
        <v>57</v>
      </c>
      <c r="O798" t="s">
        <v>43</v>
      </c>
      <c r="Q798">
        <f t="shared" si="48"/>
        <v>1</v>
      </c>
      <c r="R798" s="3">
        <f t="shared" si="49"/>
        <v>4</v>
      </c>
      <c r="S798">
        <f t="shared" si="50"/>
        <v>0</v>
      </c>
      <c r="T798">
        <f t="shared" si="51"/>
        <v>0</v>
      </c>
    </row>
    <row r="799" spans="1:20" x14ac:dyDescent="0.25">
      <c r="A799" t="s">
        <v>865</v>
      </c>
      <c r="B799">
        <v>798</v>
      </c>
      <c r="C799" t="s">
        <v>36</v>
      </c>
      <c r="D799" t="s">
        <v>30</v>
      </c>
      <c r="E799" t="s">
        <v>56</v>
      </c>
      <c r="F799" s="2">
        <v>45995</v>
      </c>
      <c r="G799" s="2">
        <v>45996</v>
      </c>
      <c r="H799" t="s">
        <v>24</v>
      </c>
      <c r="I799" t="s">
        <v>62</v>
      </c>
      <c r="J799" s="2">
        <v>45999</v>
      </c>
      <c r="K799" s="2">
        <v>45999</v>
      </c>
      <c r="L799" t="s">
        <v>46</v>
      </c>
      <c r="M799" t="s">
        <v>27</v>
      </c>
      <c r="O799" t="s">
        <v>43</v>
      </c>
      <c r="Q799">
        <f t="shared" si="48"/>
        <v>1</v>
      </c>
      <c r="R799" s="3">
        <f t="shared" si="49"/>
        <v>4</v>
      </c>
      <c r="S799">
        <f t="shared" si="50"/>
        <v>0</v>
      </c>
      <c r="T799">
        <f t="shared" si="51"/>
        <v>1</v>
      </c>
    </row>
    <row r="800" spans="1:20" x14ac:dyDescent="0.25">
      <c r="A800" t="s">
        <v>866</v>
      </c>
      <c r="B800">
        <v>799</v>
      </c>
      <c r="C800" t="s">
        <v>36</v>
      </c>
      <c r="D800" t="s">
        <v>30</v>
      </c>
      <c r="E800" t="s">
        <v>40</v>
      </c>
      <c r="F800" s="2">
        <v>46005</v>
      </c>
      <c r="G800" s="2">
        <v>46005</v>
      </c>
      <c r="H800" t="s">
        <v>41</v>
      </c>
      <c r="I800" t="s">
        <v>62</v>
      </c>
      <c r="J800" s="2">
        <v>46008</v>
      </c>
      <c r="K800" s="2">
        <v>46008</v>
      </c>
      <c r="L800" t="s">
        <v>46</v>
      </c>
      <c r="M800" t="s">
        <v>27</v>
      </c>
      <c r="O800" t="s">
        <v>34</v>
      </c>
      <c r="P800" t="s">
        <v>88</v>
      </c>
      <c r="Q800">
        <f t="shared" si="48"/>
        <v>1</v>
      </c>
      <c r="R800" s="3">
        <f t="shared" si="49"/>
        <v>3</v>
      </c>
      <c r="S800">
        <f t="shared" si="50"/>
        <v>0</v>
      </c>
      <c r="T800">
        <f t="shared" si="51"/>
        <v>1</v>
      </c>
    </row>
    <row r="801" spans="1:20" x14ac:dyDescent="0.25">
      <c r="A801" t="s">
        <v>867</v>
      </c>
      <c r="B801">
        <v>800</v>
      </c>
      <c r="C801" t="s">
        <v>59</v>
      </c>
      <c r="D801" t="s">
        <v>30</v>
      </c>
      <c r="E801" t="s">
        <v>53</v>
      </c>
      <c r="F801" s="2">
        <v>45841</v>
      </c>
      <c r="G801" s="2">
        <v>45843</v>
      </c>
      <c r="H801" t="s">
        <v>41</v>
      </c>
      <c r="I801" t="s">
        <v>25</v>
      </c>
      <c r="J801" s="2">
        <v>45844</v>
      </c>
      <c r="K801" s="2">
        <v>45844</v>
      </c>
      <c r="L801" t="s">
        <v>46</v>
      </c>
      <c r="M801" t="s">
        <v>57</v>
      </c>
      <c r="O801" t="s">
        <v>81</v>
      </c>
      <c r="P801" t="s">
        <v>76</v>
      </c>
      <c r="Q801">
        <f t="shared" si="48"/>
        <v>1</v>
      </c>
      <c r="R801" s="3">
        <f t="shared" si="49"/>
        <v>3</v>
      </c>
      <c r="S801">
        <f t="shared" si="50"/>
        <v>0</v>
      </c>
      <c r="T801">
        <f t="shared" si="51"/>
        <v>1</v>
      </c>
    </row>
    <row r="802" spans="1:20" x14ac:dyDescent="0.25">
      <c r="A802" t="s">
        <v>868</v>
      </c>
      <c r="B802">
        <v>801</v>
      </c>
      <c r="C802" t="s">
        <v>21</v>
      </c>
      <c r="D802" t="s">
        <v>22</v>
      </c>
      <c r="E802" t="s">
        <v>40</v>
      </c>
      <c r="F802" s="2">
        <v>45772</v>
      </c>
      <c r="G802" s="2">
        <v>45774</v>
      </c>
      <c r="H802" t="s">
        <v>41</v>
      </c>
      <c r="I802" t="s">
        <v>62</v>
      </c>
      <c r="J802" s="2">
        <v>45777</v>
      </c>
      <c r="K802" s="2">
        <v>45777</v>
      </c>
      <c r="L802" t="s">
        <v>26</v>
      </c>
      <c r="M802" t="s">
        <v>57</v>
      </c>
      <c r="O802" t="s">
        <v>69</v>
      </c>
      <c r="Q802">
        <f t="shared" si="48"/>
        <v>1</v>
      </c>
      <c r="R802" s="3">
        <f t="shared" si="49"/>
        <v>5</v>
      </c>
      <c r="S802">
        <f t="shared" si="50"/>
        <v>0</v>
      </c>
      <c r="T802">
        <f t="shared" si="51"/>
        <v>0</v>
      </c>
    </row>
    <row r="803" spans="1:20" x14ac:dyDescent="0.25">
      <c r="A803" t="s">
        <v>869</v>
      </c>
      <c r="B803">
        <v>802</v>
      </c>
      <c r="C803" t="s">
        <v>21</v>
      </c>
      <c r="D803" t="s">
        <v>30</v>
      </c>
      <c r="E803" t="s">
        <v>40</v>
      </c>
      <c r="F803" s="2">
        <v>45670</v>
      </c>
      <c r="G803" s="2">
        <v>45670</v>
      </c>
      <c r="H803" t="s">
        <v>45</v>
      </c>
      <c r="I803" t="s">
        <v>83</v>
      </c>
      <c r="J803" s="2">
        <v>45674</v>
      </c>
      <c r="K803" s="2">
        <v>45677</v>
      </c>
      <c r="L803" t="s">
        <v>26</v>
      </c>
      <c r="M803" t="s">
        <v>32</v>
      </c>
      <c r="N803" t="s">
        <v>49</v>
      </c>
      <c r="O803" t="s">
        <v>69</v>
      </c>
      <c r="Q803">
        <f t="shared" si="48"/>
        <v>0</v>
      </c>
      <c r="R803" s="3">
        <f t="shared" si="49"/>
        <v>4</v>
      </c>
      <c r="S803">
        <f t="shared" si="50"/>
        <v>1</v>
      </c>
      <c r="T803">
        <f t="shared" si="51"/>
        <v>0</v>
      </c>
    </row>
    <row r="804" spans="1:20" x14ac:dyDescent="0.25">
      <c r="A804" t="s">
        <v>870</v>
      </c>
      <c r="B804">
        <v>803</v>
      </c>
      <c r="C804" t="s">
        <v>51</v>
      </c>
      <c r="D804" t="s">
        <v>22</v>
      </c>
      <c r="E804" t="s">
        <v>40</v>
      </c>
      <c r="F804" s="2">
        <v>45795</v>
      </c>
      <c r="G804" s="2">
        <v>45796</v>
      </c>
      <c r="H804" t="s">
        <v>41</v>
      </c>
      <c r="I804" t="s">
        <v>83</v>
      </c>
      <c r="J804" s="2">
        <v>45802</v>
      </c>
      <c r="K804" s="2">
        <v>45802</v>
      </c>
      <c r="L804" t="s">
        <v>26</v>
      </c>
      <c r="M804" t="s">
        <v>57</v>
      </c>
      <c r="O804" t="s">
        <v>69</v>
      </c>
      <c r="Q804">
        <f t="shared" si="48"/>
        <v>1</v>
      </c>
      <c r="R804" s="3">
        <f t="shared" si="49"/>
        <v>7</v>
      </c>
      <c r="S804">
        <f t="shared" si="50"/>
        <v>0</v>
      </c>
      <c r="T804">
        <f t="shared" si="51"/>
        <v>0</v>
      </c>
    </row>
    <row r="805" spans="1:20" x14ac:dyDescent="0.25">
      <c r="A805" t="s">
        <v>871</v>
      </c>
      <c r="B805">
        <v>804</v>
      </c>
      <c r="C805" t="s">
        <v>36</v>
      </c>
      <c r="D805" t="s">
        <v>39</v>
      </c>
      <c r="E805" t="s">
        <v>23</v>
      </c>
      <c r="F805" s="2">
        <v>45903</v>
      </c>
      <c r="G805" s="2">
        <v>45904</v>
      </c>
      <c r="H805" t="s">
        <v>61</v>
      </c>
      <c r="I805" t="s">
        <v>85</v>
      </c>
      <c r="J805" s="2">
        <v>45908</v>
      </c>
      <c r="K805" s="2">
        <v>45908</v>
      </c>
      <c r="L805" t="s">
        <v>26</v>
      </c>
      <c r="M805" t="s">
        <v>27</v>
      </c>
      <c r="O805" t="s">
        <v>69</v>
      </c>
      <c r="Q805">
        <f t="shared" si="48"/>
        <v>1</v>
      </c>
      <c r="R805" s="3">
        <f t="shared" si="49"/>
        <v>5</v>
      </c>
      <c r="S805">
        <f t="shared" si="50"/>
        <v>0</v>
      </c>
      <c r="T805">
        <f t="shared" si="51"/>
        <v>0</v>
      </c>
    </row>
    <row r="806" spans="1:20" x14ac:dyDescent="0.25">
      <c r="A806" t="s">
        <v>872</v>
      </c>
      <c r="B806">
        <v>805</v>
      </c>
      <c r="C806" t="s">
        <v>51</v>
      </c>
      <c r="D806" t="s">
        <v>64</v>
      </c>
      <c r="E806" t="s">
        <v>60</v>
      </c>
      <c r="F806" s="2">
        <v>45995</v>
      </c>
      <c r="G806" s="2">
        <v>45997</v>
      </c>
      <c r="H806" t="s">
        <v>24</v>
      </c>
      <c r="I806" t="s">
        <v>83</v>
      </c>
      <c r="J806" s="2">
        <v>46002</v>
      </c>
      <c r="K806" s="2">
        <v>46002</v>
      </c>
      <c r="L806" t="s">
        <v>26</v>
      </c>
      <c r="M806" t="s">
        <v>27</v>
      </c>
      <c r="O806" t="s">
        <v>37</v>
      </c>
      <c r="Q806">
        <f t="shared" si="48"/>
        <v>1</v>
      </c>
      <c r="R806" s="3">
        <f t="shared" si="49"/>
        <v>7</v>
      </c>
      <c r="S806">
        <f t="shared" si="50"/>
        <v>0</v>
      </c>
      <c r="T806">
        <f t="shared" si="51"/>
        <v>0</v>
      </c>
    </row>
    <row r="807" spans="1:20" x14ac:dyDescent="0.25">
      <c r="A807" t="s">
        <v>873</v>
      </c>
      <c r="B807">
        <v>806</v>
      </c>
      <c r="C807" t="s">
        <v>59</v>
      </c>
      <c r="D807" t="s">
        <v>52</v>
      </c>
      <c r="E807" t="s">
        <v>53</v>
      </c>
      <c r="F807" s="2">
        <v>45685</v>
      </c>
      <c r="G807" s="2">
        <v>45686</v>
      </c>
      <c r="H807" t="s">
        <v>45</v>
      </c>
      <c r="I807" t="s">
        <v>62</v>
      </c>
      <c r="J807" s="2">
        <v>45689</v>
      </c>
      <c r="K807" s="2">
        <v>45689</v>
      </c>
      <c r="L807" t="s">
        <v>26</v>
      </c>
      <c r="M807" t="s">
        <v>57</v>
      </c>
      <c r="O807" t="s">
        <v>81</v>
      </c>
      <c r="Q807">
        <f t="shared" si="48"/>
        <v>1</v>
      </c>
      <c r="R807" s="3">
        <f t="shared" si="49"/>
        <v>4</v>
      </c>
      <c r="S807">
        <f t="shared" si="50"/>
        <v>0</v>
      </c>
      <c r="T807">
        <f t="shared" si="51"/>
        <v>0</v>
      </c>
    </row>
    <row r="808" spans="1:20" x14ac:dyDescent="0.25">
      <c r="A808" t="s">
        <v>874</v>
      </c>
      <c r="B808">
        <v>807</v>
      </c>
      <c r="C808" t="s">
        <v>51</v>
      </c>
      <c r="D808" t="s">
        <v>64</v>
      </c>
      <c r="E808" t="s">
        <v>23</v>
      </c>
      <c r="F808" s="2">
        <v>45969</v>
      </c>
      <c r="G808" s="2">
        <v>45970</v>
      </c>
      <c r="H808" t="s">
        <v>61</v>
      </c>
      <c r="I808" t="s">
        <v>83</v>
      </c>
      <c r="J808" s="2">
        <v>45974</v>
      </c>
      <c r="K808" s="2">
        <v>45974</v>
      </c>
      <c r="L808" t="s">
        <v>26</v>
      </c>
      <c r="M808" t="s">
        <v>27</v>
      </c>
      <c r="O808" t="s">
        <v>37</v>
      </c>
      <c r="Q808">
        <f t="shared" si="48"/>
        <v>1</v>
      </c>
      <c r="R808" s="3">
        <f t="shared" si="49"/>
        <v>5</v>
      </c>
      <c r="S808">
        <f t="shared" si="50"/>
        <v>0</v>
      </c>
      <c r="T808">
        <f t="shared" si="51"/>
        <v>0</v>
      </c>
    </row>
    <row r="809" spans="1:20" x14ac:dyDescent="0.25">
      <c r="A809" t="s">
        <v>875</v>
      </c>
      <c r="B809">
        <v>808</v>
      </c>
      <c r="C809" t="s">
        <v>59</v>
      </c>
      <c r="D809" t="s">
        <v>30</v>
      </c>
      <c r="E809" t="s">
        <v>60</v>
      </c>
      <c r="F809" s="2">
        <v>45940</v>
      </c>
      <c r="G809" s="2">
        <v>45941</v>
      </c>
      <c r="H809" t="s">
        <v>24</v>
      </c>
      <c r="I809" t="s">
        <v>83</v>
      </c>
      <c r="J809" s="2">
        <v>45944</v>
      </c>
      <c r="K809" s="2">
        <v>45944</v>
      </c>
      <c r="L809" t="s">
        <v>26</v>
      </c>
      <c r="M809" t="s">
        <v>27</v>
      </c>
      <c r="O809" t="s">
        <v>37</v>
      </c>
      <c r="Q809">
        <f t="shared" si="48"/>
        <v>1</v>
      </c>
      <c r="R809" s="3">
        <f t="shared" si="49"/>
        <v>4</v>
      </c>
      <c r="S809">
        <f t="shared" si="50"/>
        <v>0</v>
      </c>
      <c r="T809">
        <f t="shared" si="51"/>
        <v>0</v>
      </c>
    </row>
    <row r="810" spans="1:20" x14ac:dyDescent="0.25">
      <c r="A810" t="s">
        <v>876</v>
      </c>
      <c r="B810">
        <v>809</v>
      </c>
      <c r="C810" t="s">
        <v>78</v>
      </c>
      <c r="D810" t="s">
        <v>22</v>
      </c>
      <c r="E810" t="s">
        <v>56</v>
      </c>
      <c r="F810" s="2">
        <v>45946</v>
      </c>
      <c r="G810" s="2">
        <v>45948</v>
      </c>
      <c r="H810" t="s">
        <v>61</v>
      </c>
      <c r="I810" t="s">
        <v>25</v>
      </c>
      <c r="J810" s="2">
        <v>45952</v>
      </c>
      <c r="K810" s="2">
        <v>45952</v>
      </c>
      <c r="L810" t="s">
        <v>26</v>
      </c>
      <c r="M810" t="s">
        <v>57</v>
      </c>
      <c r="O810" t="s">
        <v>43</v>
      </c>
      <c r="Q810">
        <f t="shared" si="48"/>
        <v>1</v>
      </c>
      <c r="R810" s="3">
        <f t="shared" si="49"/>
        <v>6</v>
      </c>
      <c r="S810">
        <f t="shared" si="50"/>
        <v>0</v>
      </c>
      <c r="T810">
        <f t="shared" si="51"/>
        <v>0</v>
      </c>
    </row>
    <row r="811" spans="1:20" x14ac:dyDescent="0.25">
      <c r="A811" t="s">
        <v>877</v>
      </c>
      <c r="B811">
        <v>810</v>
      </c>
      <c r="C811" t="s">
        <v>78</v>
      </c>
      <c r="D811" t="s">
        <v>39</v>
      </c>
      <c r="E811" t="s">
        <v>60</v>
      </c>
      <c r="F811" s="2">
        <v>45714</v>
      </c>
      <c r="G811" s="2">
        <v>45715</v>
      </c>
      <c r="H811" t="s">
        <v>45</v>
      </c>
      <c r="I811" t="s">
        <v>83</v>
      </c>
      <c r="J811" s="2">
        <v>45717</v>
      </c>
      <c r="K811" s="2">
        <v>45718</v>
      </c>
      <c r="L811" t="s">
        <v>26</v>
      </c>
      <c r="M811" t="s">
        <v>57</v>
      </c>
      <c r="O811" t="s">
        <v>81</v>
      </c>
      <c r="P811" t="s">
        <v>71</v>
      </c>
      <c r="Q811">
        <f t="shared" si="48"/>
        <v>0</v>
      </c>
      <c r="R811" s="3">
        <f t="shared" si="49"/>
        <v>3</v>
      </c>
      <c r="S811">
        <f t="shared" si="50"/>
        <v>0</v>
      </c>
      <c r="T811">
        <f t="shared" si="51"/>
        <v>0</v>
      </c>
    </row>
    <row r="812" spans="1:20" x14ac:dyDescent="0.25">
      <c r="A812" t="s">
        <v>878</v>
      </c>
      <c r="B812">
        <v>811</v>
      </c>
      <c r="C812" t="s">
        <v>59</v>
      </c>
      <c r="D812" t="s">
        <v>64</v>
      </c>
      <c r="E812" t="s">
        <v>53</v>
      </c>
      <c r="F812" s="2">
        <v>45659</v>
      </c>
      <c r="G812" s="2">
        <v>45661</v>
      </c>
      <c r="H812" t="s">
        <v>24</v>
      </c>
      <c r="I812" t="s">
        <v>62</v>
      </c>
      <c r="J812" s="2">
        <v>45667</v>
      </c>
      <c r="K812" s="2">
        <v>45667</v>
      </c>
      <c r="L812" t="s">
        <v>26</v>
      </c>
      <c r="M812" t="s">
        <v>57</v>
      </c>
      <c r="O812" t="s">
        <v>69</v>
      </c>
      <c r="Q812">
        <f t="shared" si="48"/>
        <v>1</v>
      </c>
      <c r="R812" s="3">
        <f t="shared" si="49"/>
        <v>8</v>
      </c>
      <c r="S812">
        <f t="shared" si="50"/>
        <v>0</v>
      </c>
      <c r="T812">
        <f t="shared" si="51"/>
        <v>0</v>
      </c>
    </row>
    <row r="813" spans="1:20" x14ac:dyDescent="0.25">
      <c r="A813" t="s">
        <v>879</v>
      </c>
      <c r="B813">
        <v>812</v>
      </c>
      <c r="C813" t="s">
        <v>51</v>
      </c>
      <c r="D813" t="s">
        <v>22</v>
      </c>
      <c r="E813" t="s">
        <v>23</v>
      </c>
      <c r="F813" s="2">
        <v>45944</v>
      </c>
      <c r="G813" s="2">
        <v>45944</v>
      </c>
      <c r="H813" t="s">
        <v>45</v>
      </c>
      <c r="I813" t="s">
        <v>62</v>
      </c>
      <c r="J813" s="2">
        <v>45947</v>
      </c>
      <c r="K813" s="2">
        <v>45947</v>
      </c>
      <c r="L813" t="s">
        <v>26</v>
      </c>
      <c r="M813" t="s">
        <v>27</v>
      </c>
      <c r="O813" t="s">
        <v>34</v>
      </c>
      <c r="Q813">
        <f t="shared" si="48"/>
        <v>1</v>
      </c>
      <c r="R813" s="3">
        <f t="shared" si="49"/>
        <v>3</v>
      </c>
      <c r="S813">
        <f t="shared" si="50"/>
        <v>0</v>
      </c>
      <c r="T813">
        <f t="shared" si="51"/>
        <v>0</v>
      </c>
    </row>
    <row r="814" spans="1:20" x14ac:dyDescent="0.25">
      <c r="A814" t="s">
        <v>880</v>
      </c>
      <c r="B814">
        <v>813</v>
      </c>
      <c r="C814" t="s">
        <v>59</v>
      </c>
      <c r="D814" t="s">
        <v>64</v>
      </c>
      <c r="E814" t="s">
        <v>53</v>
      </c>
      <c r="F814" s="2">
        <v>45916</v>
      </c>
      <c r="G814" s="2">
        <v>45917</v>
      </c>
      <c r="H814" t="s">
        <v>61</v>
      </c>
      <c r="I814" t="s">
        <v>83</v>
      </c>
      <c r="J814" s="2">
        <v>45919</v>
      </c>
      <c r="K814" s="2">
        <v>45919</v>
      </c>
      <c r="L814" t="s">
        <v>26</v>
      </c>
      <c r="M814" t="s">
        <v>27</v>
      </c>
      <c r="O814" t="s">
        <v>81</v>
      </c>
      <c r="Q814">
        <f t="shared" si="48"/>
        <v>1</v>
      </c>
      <c r="R814" s="3">
        <f t="shared" si="49"/>
        <v>3</v>
      </c>
      <c r="S814">
        <f t="shared" si="50"/>
        <v>0</v>
      </c>
      <c r="T814">
        <f t="shared" si="51"/>
        <v>0</v>
      </c>
    </row>
    <row r="815" spans="1:20" x14ac:dyDescent="0.25">
      <c r="A815" t="s">
        <v>881</v>
      </c>
      <c r="B815">
        <v>814</v>
      </c>
      <c r="C815" t="s">
        <v>21</v>
      </c>
      <c r="D815" t="s">
        <v>39</v>
      </c>
      <c r="E815" t="s">
        <v>53</v>
      </c>
      <c r="F815" s="2">
        <v>45828</v>
      </c>
      <c r="G815" s="2">
        <v>45828</v>
      </c>
      <c r="H815" t="s">
        <v>41</v>
      </c>
      <c r="I815" t="s">
        <v>73</v>
      </c>
      <c r="J815" s="2">
        <v>45830</v>
      </c>
      <c r="K815" s="2">
        <v>45831</v>
      </c>
      <c r="L815" t="s">
        <v>26</v>
      </c>
      <c r="M815" t="s">
        <v>32</v>
      </c>
      <c r="N815" t="s">
        <v>47</v>
      </c>
      <c r="O815" t="s">
        <v>81</v>
      </c>
      <c r="P815" t="s">
        <v>76</v>
      </c>
      <c r="Q815">
        <f t="shared" si="48"/>
        <v>0</v>
      </c>
      <c r="R815" s="3">
        <f t="shared" si="49"/>
        <v>2</v>
      </c>
      <c r="S815">
        <f t="shared" si="50"/>
        <v>1</v>
      </c>
      <c r="T815">
        <f t="shared" si="51"/>
        <v>0</v>
      </c>
    </row>
    <row r="816" spans="1:20" x14ac:dyDescent="0.25">
      <c r="A816" t="s">
        <v>882</v>
      </c>
      <c r="B816">
        <v>815</v>
      </c>
      <c r="C816" t="s">
        <v>59</v>
      </c>
      <c r="D816" t="s">
        <v>64</v>
      </c>
      <c r="E816" t="s">
        <v>53</v>
      </c>
      <c r="F816" s="2">
        <v>45818</v>
      </c>
      <c r="G816" s="2">
        <v>45819</v>
      </c>
      <c r="H816" t="s">
        <v>41</v>
      </c>
      <c r="I816" t="s">
        <v>25</v>
      </c>
      <c r="J816" s="2">
        <v>45823</v>
      </c>
      <c r="K816" s="2">
        <v>45823</v>
      </c>
      <c r="L816" t="s">
        <v>26</v>
      </c>
      <c r="M816" t="s">
        <v>57</v>
      </c>
      <c r="O816" t="s">
        <v>69</v>
      </c>
      <c r="P816" t="s">
        <v>88</v>
      </c>
      <c r="Q816">
        <f t="shared" si="48"/>
        <v>1</v>
      </c>
      <c r="R816" s="3">
        <f t="shared" si="49"/>
        <v>5</v>
      </c>
      <c r="S816">
        <f t="shared" si="50"/>
        <v>0</v>
      </c>
      <c r="T816">
        <f t="shared" si="51"/>
        <v>0</v>
      </c>
    </row>
    <row r="817" spans="1:20" x14ac:dyDescent="0.25">
      <c r="A817" t="s">
        <v>883</v>
      </c>
      <c r="B817">
        <v>816</v>
      </c>
      <c r="C817" t="s">
        <v>78</v>
      </c>
      <c r="D817" t="s">
        <v>64</v>
      </c>
      <c r="E817" t="s">
        <v>53</v>
      </c>
      <c r="F817" s="2">
        <v>45680</v>
      </c>
      <c r="G817" s="2">
        <v>45680</v>
      </c>
      <c r="H817" t="s">
        <v>31</v>
      </c>
      <c r="I817" t="s">
        <v>85</v>
      </c>
      <c r="J817" s="2">
        <v>45682</v>
      </c>
      <c r="K817" s="2">
        <v>45682</v>
      </c>
      <c r="L817" t="s">
        <v>26</v>
      </c>
      <c r="M817" t="s">
        <v>57</v>
      </c>
      <c r="O817" t="s">
        <v>43</v>
      </c>
      <c r="Q817">
        <f t="shared" si="48"/>
        <v>1</v>
      </c>
      <c r="R817" s="3">
        <f t="shared" si="49"/>
        <v>2</v>
      </c>
      <c r="S817">
        <f t="shared" si="50"/>
        <v>0</v>
      </c>
      <c r="T817">
        <f t="shared" si="51"/>
        <v>0</v>
      </c>
    </row>
    <row r="818" spans="1:20" x14ac:dyDescent="0.25">
      <c r="A818" t="s">
        <v>884</v>
      </c>
      <c r="B818">
        <v>817</v>
      </c>
      <c r="C818" t="s">
        <v>21</v>
      </c>
      <c r="D818" t="s">
        <v>39</v>
      </c>
      <c r="E818" t="s">
        <v>60</v>
      </c>
      <c r="F818" s="2">
        <v>46003</v>
      </c>
      <c r="G818" s="2">
        <v>46003</v>
      </c>
      <c r="H818" t="s">
        <v>41</v>
      </c>
      <c r="I818" t="s">
        <v>85</v>
      </c>
      <c r="J818" s="2">
        <v>46006</v>
      </c>
      <c r="K818" s="2">
        <v>46006</v>
      </c>
      <c r="L818" t="s">
        <v>26</v>
      </c>
      <c r="M818" t="s">
        <v>27</v>
      </c>
      <c r="O818" t="s">
        <v>69</v>
      </c>
      <c r="Q818">
        <f t="shared" si="48"/>
        <v>1</v>
      </c>
      <c r="R818" s="3">
        <f t="shared" si="49"/>
        <v>3</v>
      </c>
      <c r="S818">
        <f t="shared" si="50"/>
        <v>0</v>
      </c>
      <c r="T818">
        <f t="shared" si="51"/>
        <v>0</v>
      </c>
    </row>
    <row r="819" spans="1:20" x14ac:dyDescent="0.25">
      <c r="A819" t="s">
        <v>885</v>
      </c>
      <c r="B819">
        <v>818</v>
      </c>
      <c r="C819" t="s">
        <v>36</v>
      </c>
      <c r="D819" t="s">
        <v>30</v>
      </c>
      <c r="E819" t="s">
        <v>23</v>
      </c>
      <c r="F819" s="2">
        <v>45988</v>
      </c>
      <c r="G819" s="2">
        <v>45988</v>
      </c>
      <c r="H819" t="s">
        <v>31</v>
      </c>
      <c r="I819" t="s">
        <v>62</v>
      </c>
      <c r="J819" s="2">
        <v>45993</v>
      </c>
      <c r="K819" s="2">
        <v>45993</v>
      </c>
      <c r="L819" t="s">
        <v>26</v>
      </c>
      <c r="M819" t="s">
        <v>57</v>
      </c>
      <c r="O819" t="s">
        <v>34</v>
      </c>
      <c r="P819" t="s">
        <v>71</v>
      </c>
      <c r="Q819">
        <f t="shared" si="48"/>
        <v>1</v>
      </c>
      <c r="R819" s="3">
        <f t="shared" si="49"/>
        <v>5</v>
      </c>
      <c r="S819">
        <f t="shared" si="50"/>
        <v>0</v>
      </c>
      <c r="T819">
        <f t="shared" si="51"/>
        <v>0</v>
      </c>
    </row>
    <row r="820" spans="1:20" x14ac:dyDescent="0.25">
      <c r="A820" t="s">
        <v>886</v>
      </c>
      <c r="B820">
        <v>819</v>
      </c>
      <c r="C820" t="s">
        <v>21</v>
      </c>
      <c r="D820" t="s">
        <v>30</v>
      </c>
      <c r="E820" t="s">
        <v>60</v>
      </c>
      <c r="F820" s="2">
        <v>45994</v>
      </c>
      <c r="G820" s="2">
        <v>45994</v>
      </c>
      <c r="H820" t="s">
        <v>41</v>
      </c>
      <c r="I820" t="s">
        <v>73</v>
      </c>
      <c r="J820" s="2">
        <v>45999</v>
      </c>
      <c r="K820" s="2">
        <v>45999</v>
      </c>
      <c r="L820" t="s">
        <v>26</v>
      </c>
      <c r="M820" t="s">
        <v>27</v>
      </c>
      <c r="O820" t="s">
        <v>43</v>
      </c>
      <c r="P820" t="s">
        <v>76</v>
      </c>
      <c r="Q820">
        <f t="shared" si="48"/>
        <v>1</v>
      </c>
      <c r="R820" s="3">
        <f t="shared" si="49"/>
        <v>5</v>
      </c>
      <c r="S820">
        <f t="shared" si="50"/>
        <v>0</v>
      </c>
      <c r="T820">
        <f t="shared" si="51"/>
        <v>0</v>
      </c>
    </row>
    <row r="821" spans="1:20" x14ac:dyDescent="0.25">
      <c r="A821" t="s">
        <v>887</v>
      </c>
      <c r="B821">
        <v>820</v>
      </c>
      <c r="C821" t="s">
        <v>21</v>
      </c>
      <c r="D821" t="s">
        <v>30</v>
      </c>
      <c r="E821" t="s">
        <v>56</v>
      </c>
      <c r="F821" s="2">
        <v>45989</v>
      </c>
      <c r="G821" s="2">
        <v>45991</v>
      </c>
      <c r="H821" t="s">
        <v>41</v>
      </c>
      <c r="I821" t="s">
        <v>42</v>
      </c>
      <c r="J821" s="2">
        <v>45993</v>
      </c>
      <c r="K821" s="2">
        <v>45993</v>
      </c>
      <c r="L821" t="s">
        <v>26</v>
      </c>
      <c r="M821" t="s">
        <v>57</v>
      </c>
      <c r="O821" t="s">
        <v>37</v>
      </c>
      <c r="Q821">
        <f t="shared" si="48"/>
        <v>1</v>
      </c>
      <c r="R821" s="3">
        <f t="shared" si="49"/>
        <v>4</v>
      </c>
      <c r="S821">
        <f t="shared" si="50"/>
        <v>0</v>
      </c>
      <c r="T821">
        <f t="shared" si="51"/>
        <v>0</v>
      </c>
    </row>
    <row r="822" spans="1:20" x14ac:dyDescent="0.25">
      <c r="A822" t="s">
        <v>888</v>
      </c>
      <c r="B822">
        <v>821</v>
      </c>
      <c r="C822" t="s">
        <v>51</v>
      </c>
      <c r="D822" t="s">
        <v>52</v>
      </c>
      <c r="E822" t="s">
        <v>56</v>
      </c>
      <c r="F822" s="2">
        <v>45864</v>
      </c>
      <c r="G822" s="2">
        <v>45866</v>
      </c>
      <c r="H822" t="s">
        <v>31</v>
      </c>
      <c r="I822" t="s">
        <v>54</v>
      </c>
      <c r="J822" s="2">
        <v>45872</v>
      </c>
      <c r="K822" s="2">
        <v>45872</v>
      </c>
      <c r="L822" t="s">
        <v>26</v>
      </c>
      <c r="M822" t="s">
        <v>57</v>
      </c>
      <c r="O822" t="s">
        <v>34</v>
      </c>
      <c r="Q822">
        <f t="shared" si="48"/>
        <v>1</v>
      </c>
      <c r="R822" s="3">
        <f t="shared" si="49"/>
        <v>8</v>
      </c>
      <c r="S822">
        <f t="shared" si="50"/>
        <v>0</v>
      </c>
      <c r="T822">
        <f t="shared" si="51"/>
        <v>0</v>
      </c>
    </row>
    <row r="823" spans="1:20" x14ac:dyDescent="0.25">
      <c r="A823" t="s">
        <v>889</v>
      </c>
      <c r="B823">
        <v>822</v>
      </c>
      <c r="C823" t="s">
        <v>78</v>
      </c>
      <c r="D823" t="s">
        <v>22</v>
      </c>
      <c r="E823" t="s">
        <v>23</v>
      </c>
      <c r="F823" s="2">
        <v>45964</v>
      </c>
      <c r="G823" s="2">
        <v>45965</v>
      </c>
      <c r="H823" t="s">
        <v>24</v>
      </c>
      <c r="I823" t="s">
        <v>54</v>
      </c>
      <c r="J823" s="2">
        <v>45970</v>
      </c>
      <c r="K823" s="2">
        <v>45970</v>
      </c>
      <c r="L823" t="s">
        <v>26</v>
      </c>
      <c r="M823" t="s">
        <v>27</v>
      </c>
      <c r="O823" t="s">
        <v>37</v>
      </c>
      <c r="Q823">
        <f t="shared" si="48"/>
        <v>1</v>
      </c>
      <c r="R823" s="3">
        <f t="shared" si="49"/>
        <v>6</v>
      </c>
      <c r="S823">
        <f t="shared" si="50"/>
        <v>0</v>
      </c>
      <c r="T823">
        <f t="shared" si="51"/>
        <v>0</v>
      </c>
    </row>
    <row r="824" spans="1:20" x14ac:dyDescent="0.25">
      <c r="A824" t="s">
        <v>890</v>
      </c>
      <c r="B824">
        <v>823</v>
      </c>
      <c r="C824" t="s">
        <v>78</v>
      </c>
      <c r="D824" t="s">
        <v>39</v>
      </c>
      <c r="E824" t="s">
        <v>53</v>
      </c>
      <c r="F824" s="2">
        <v>45752</v>
      </c>
      <c r="G824" s="2">
        <v>45752</v>
      </c>
      <c r="H824" t="s">
        <v>41</v>
      </c>
      <c r="I824" t="s">
        <v>25</v>
      </c>
      <c r="J824" s="2">
        <v>45753</v>
      </c>
      <c r="K824" s="2">
        <v>45753</v>
      </c>
      <c r="L824" t="s">
        <v>46</v>
      </c>
      <c r="M824" t="s">
        <v>57</v>
      </c>
      <c r="O824" t="s">
        <v>81</v>
      </c>
      <c r="Q824">
        <f t="shared" si="48"/>
        <v>1</v>
      </c>
      <c r="R824" s="3">
        <f t="shared" si="49"/>
        <v>1</v>
      </c>
      <c r="S824">
        <f t="shared" si="50"/>
        <v>0</v>
      </c>
      <c r="T824">
        <f t="shared" si="51"/>
        <v>1</v>
      </c>
    </row>
    <row r="825" spans="1:20" x14ac:dyDescent="0.25">
      <c r="A825" t="s">
        <v>891</v>
      </c>
      <c r="B825">
        <v>824</v>
      </c>
      <c r="C825" t="s">
        <v>59</v>
      </c>
      <c r="D825" t="s">
        <v>22</v>
      </c>
      <c r="E825" t="s">
        <v>56</v>
      </c>
      <c r="F825" s="2">
        <v>45911</v>
      </c>
      <c r="G825" s="2">
        <v>45911</v>
      </c>
      <c r="H825" t="s">
        <v>61</v>
      </c>
      <c r="I825" t="s">
        <v>73</v>
      </c>
      <c r="J825" s="2">
        <v>45913</v>
      </c>
      <c r="K825" s="2">
        <v>45913</v>
      </c>
      <c r="L825" t="s">
        <v>26</v>
      </c>
      <c r="M825" t="s">
        <v>57</v>
      </c>
      <c r="O825" t="s">
        <v>34</v>
      </c>
      <c r="Q825">
        <f t="shared" si="48"/>
        <v>1</v>
      </c>
      <c r="R825" s="3">
        <f t="shared" si="49"/>
        <v>2</v>
      </c>
      <c r="S825">
        <f t="shared" si="50"/>
        <v>0</v>
      </c>
      <c r="T825">
        <f t="shared" si="51"/>
        <v>0</v>
      </c>
    </row>
    <row r="826" spans="1:20" x14ac:dyDescent="0.25">
      <c r="A826" t="s">
        <v>892</v>
      </c>
      <c r="B826">
        <v>825</v>
      </c>
      <c r="C826" t="s">
        <v>51</v>
      </c>
      <c r="D826" t="s">
        <v>64</v>
      </c>
      <c r="E826" t="s">
        <v>23</v>
      </c>
      <c r="F826" s="2">
        <v>45754</v>
      </c>
      <c r="G826" s="2">
        <v>45755</v>
      </c>
      <c r="H826" t="s">
        <v>31</v>
      </c>
      <c r="I826" t="s">
        <v>54</v>
      </c>
      <c r="J826" s="2">
        <v>45757</v>
      </c>
      <c r="K826" s="2">
        <v>45757</v>
      </c>
      <c r="L826" t="s">
        <v>26</v>
      </c>
      <c r="M826" t="s">
        <v>57</v>
      </c>
      <c r="O826" t="s">
        <v>37</v>
      </c>
      <c r="P826" t="s">
        <v>88</v>
      </c>
      <c r="Q826">
        <f t="shared" si="48"/>
        <v>1</v>
      </c>
      <c r="R826" s="3">
        <f t="shared" si="49"/>
        <v>3</v>
      </c>
      <c r="S826">
        <f t="shared" si="50"/>
        <v>0</v>
      </c>
      <c r="T826">
        <f t="shared" si="51"/>
        <v>0</v>
      </c>
    </row>
    <row r="827" spans="1:20" x14ac:dyDescent="0.25">
      <c r="A827" t="s">
        <v>893</v>
      </c>
      <c r="B827">
        <v>826</v>
      </c>
      <c r="C827" t="s">
        <v>21</v>
      </c>
      <c r="D827" t="s">
        <v>52</v>
      </c>
      <c r="E827" t="s">
        <v>60</v>
      </c>
      <c r="F827" s="2">
        <v>45823</v>
      </c>
      <c r="G827" s="2">
        <v>45824</v>
      </c>
      <c r="H827" t="s">
        <v>31</v>
      </c>
      <c r="I827" t="s">
        <v>83</v>
      </c>
      <c r="J827" s="2">
        <v>45826</v>
      </c>
      <c r="K827" s="2">
        <v>45826</v>
      </c>
      <c r="L827" t="s">
        <v>26</v>
      </c>
      <c r="M827" t="s">
        <v>57</v>
      </c>
      <c r="O827" t="s">
        <v>34</v>
      </c>
      <c r="Q827">
        <f t="shared" si="48"/>
        <v>1</v>
      </c>
      <c r="R827" s="3">
        <f t="shared" si="49"/>
        <v>3</v>
      </c>
      <c r="S827">
        <f t="shared" si="50"/>
        <v>0</v>
      </c>
      <c r="T827">
        <f t="shared" si="51"/>
        <v>0</v>
      </c>
    </row>
    <row r="828" spans="1:20" x14ac:dyDescent="0.25">
      <c r="A828" t="s">
        <v>894</v>
      </c>
      <c r="B828">
        <v>827</v>
      </c>
      <c r="C828" t="s">
        <v>21</v>
      </c>
      <c r="D828" t="s">
        <v>39</v>
      </c>
      <c r="E828" t="s">
        <v>53</v>
      </c>
      <c r="F828" s="2">
        <v>45972</v>
      </c>
      <c r="G828" s="2">
        <v>45973</v>
      </c>
      <c r="H828" t="s">
        <v>61</v>
      </c>
      <c r="I828" t="s">
        <v>25</v>
      </c>
      <c r="J828" s="2">
        <v>45976</v>
      </c>
      <c r="K828" s="2">
        <v>45976</v>
      </c>
      <c r="L828" t="s">
        <v>26</v>
      </c>
      <c r="M828" t="s">
        <v>57</v>
      </c>
      <c r="O828" t="s">
        <v>34</v>
      </c>
      <c r="Q828">
        <f t="shared" si="48"/>
        <v>1</v>
      </c>
      <c r="R828" s="3">
        <f t="shared" si="49"/>
        <v>4</v>
      </c>
      <c r="S828">
        <f t="shared" si="50"/>
        <v>0</v>
      </c>
      <c r="T828">
        <f t="shared" si="51"/>
        <v>0</v>
      </c>
    </row>
    <row r="829" spans="1:20" x14ac:dyDescent="0.25">
      <c r="A829" t="s">
        <v>895</v>
      </c>
      <c r="B829">
        <v>828</v>
      </c>
      <c r="C829" t="s">
        <v>59</v>
      </c>
      <c r="D829" t="s">
        <v>22</v>
      </c>
      <c r="E829" t="s">
        <v>56</v>
      </c>
      <c r="F829" s="2">
        <v>45860</v>
      </c>
      <c r="G829" s="2">
        <v>45861</v>
      </c>
      <c r="H829" t="s">
        <v>41</v>
      </c>
      <c r="I829" t="s">
        <v>25</v>
      </c>
      <c r="J829" s="2">
        <v>45866</v>
      </c>
      <c r="K829" s="2">
        <v>45866</v>
      </c>
      <c r="L829" t="s">
        <v>26</v>
      </c>
      <c r="M829" t="s">
        <v>57</v>
      </c>
      <c r="O829" t="s">
        <v>34</v>
      </c>
      <c r="Q829">
        <f t="shared" si="48"/>
        <v>1</v>
      </c>
      <c r="R829" s="3">
        <f t="shared" si="49"/>
        <v>6</v>
      </c>
      <c r="S829">
        <f t="shared" si="50"/>
        <v>0</v>
      </c>
      <c r="T829">
        <f t="shared" si="51"/>
        <v>0</v>
      </c>
    </row>
    <row r="830" spans="1:20" x14ac:dyDescent="0.25">
      <c r="A830" t="s">
        <v>896</v>
      </c>
      <c r="B830">
        <v>829</v>
      </c>
      <c r="C830" t="s">
        <v>59</v>
      </c>
      <c r="D830" t="s">
        <v>52</v>
      </c>
      <c r="E830" t="s">
        <v>56</v>
      </c>
      <c r="F830" s="2">
        <v>46013</v>
      </c>
      <c r="G830" s="2">
        <v>46015</v>
      </c>
      <c r="H830" t="s">
        <v>61</v>
      </c>
      <c r="I830" t="s">
        <v>62</v>
      </c>
      <c r="J830" s="2">
        <v>46019</v>
      </c>
      <c r="K830" s="2">
        <v>46019</v>
      </c>
      <c r="L830" t="s">
        <v>26</v>
      </c>
      <c r="M830" t="s">
        <v>57</v>
      </c>
      <c r="O830" t="s">
        <v>28</v>
      </c>
      <c r="Q830">
        <f t="shared" si="48"/>
        <v>1</v>
      </c>
      <c r="R830" s="3">
        <f t="shared" si="49"/>
        <v>6</v>
      </c>
      <c r="S830">
        <f t="shared" si="50"/>
        <v>0</v>
      </c>
      <c r="T830">
        <f t="shared" si="51"/>
        <v>0</v>
      </c>
    </row>
    <row r="831" spans="1:20" x14ac:dyDescent="0.25">
      <c r="A831" t="s">
        <v>897</v>
      </c>
      <c r="B831">
        <v>830</v>
      </c>
      <c r="C831" t="s">
        <v>78</v>
      </c>
      <c r="D831" t="s">
        <v>30</v>
      </c>
      <c r="E831" t="s">
        <v>56</v>
      </c>
      <c r="F831" s="2">
        <v>45903</v>
      </c>
      <c r="G831" s="2">
        <v>45904</v>
      </c>
      <c r="H831" t="s">
        <v>41</v>
      </c>
      <c r="I831" t="s">
        <v>83</v>
      </c>
      <c r="J831" s="2">
        <v>45909</v>
      </c>
      <c r="K831" s="2">
        <v>45909</v>
      </c>
      <c r="L831" t="s">
        <v>46</v>
      </c>
      <c r="M831" t="s">
        <v>57</v>
      </c>
      <c r="O831" t="s">
        <v>81</v>
      </c>
      <c r="P831" t="s">
        <v>88</v>
      </c>
      <c r="Q831">
        <f t="shared" si="48"/>
        <v>1</v>
      </c>
      <c r="R831" s="3">
        <f t="shared" si="49"/>
        <v>6</v>
      </c>
      <c r="S831">
        <f t="shared" si="50"/>
        <v>0</v>
      </c>
      <c r="T831">
        <f t="shared" si="51"/>
        <v>1</v>
      </c>
    </row>
    <row r="832" spans="1:20" x14ac:dyDescent="0.25">
      <c r="A832" t="s">
        <v>898</v>
      </c>
      <c r="B832">
        <v>831</v>
      </c>
      <c r="C832" t="s">
        <v>21</v>
      </c>
      <c r="D832" t="s">
        <v>30</v>
      </c>
      <c r="E832" t="s">
        <v>60</v>
      </c>
      <c r="F832" s="2">
        <v>45789</v>
      </c>
      <c r="G832" s="2">
        <v>45789</v>
      </c>
      <c r="H832" t="s">
        <v>41</v>
      </c>
      <c r="I832" t="s">
        <v>73</v>
      </c>
      <c r="J832" s="2">
        <v>45790</v>
      </c>
      <c r="K832" s="2">
        <v>45791</v>
      </c>
      <c r="L832" t="s">
        <v>46</v>
      </c>
      <c r="M832" t="s">
        <v>32</v>
      </c>
      <c r="N832" t="s">
        <v>33</v>
      </c>
      <c r="O832" t="s">
        <v>43</v>
      </c>
      <c r="Q832">
        <f t="shared" si="48"/>
        <v>0</v>
      </c>
      <c r="R832" s="3">
        <f t="shared" si="49"/>
        <v>1</v>
      </c>
      <c r="S832">
        <f t="shared" si="50"/>
        <v>1</v>
      </c>
      <c r="T832">
        <f t="shared" si="51"/>
        <v>1</v>
      </c>
    </row>
    <row r="833" spans="1:20" x14ac:dyDescent="0.25">
      <c r="A833" t="s">
        <v>899</v>
      </c>
      <c r="B833">
        <v>832</v>
      </c>
      <c r="C833" t="s">
        <v>36</v>
      </c>
      <c r="D833" t="s">
        <v>39</v>
      </c>
      <c r="E833" t="s">
        <v>56</v>
      </c>
      <c r="F833" s="2">
        <v>45762</v>
      </c>
      <c r="G833" s="2">
        <v>45764</v>
      </c>
      <c r="H833" t="s">
        <v>45</v>
      </c>
      <c r="I833" t="s">
        <v>54</v>
      </c>
      <c r="J833" s="2">
        <v>45765</v>
      </c>
      <c r="K833" s="2">
        <v>45765</v>
      </c>
      <c r="L833" t="s">
        <v>26</v>
      </c>
      <c r="M833" t="s">
        <v>27</v>
      </c>
      <c r="O833" t="s">
        <v>69</v>
      </c>
      <c r="P833" t="s">
        <v>88</v>
      </c>
      <c r="Q833">
        <f t="shared" si="48"/>
        <v>1</v>
      </c>
      <c r="R833" s="3">
        <f t="shared" si="49"/>
        <v>3</v>
      </c>
      <c r="S833">
        <f t="shared" si="50"/>
        <v>0</v>
      </c>
      <c r="T833">
        <f t="shared" si="51"/>
        <v>0</v>
      </c>
    </row>
    <row r="834" spans="1:20" x14ac:dyDescent="0.25">
      <c r="A834" t="s">
        <v>900</v>
      </c>
      <c r="B834">
        <v>833</v>
      </c>
      <c r="C834" t="s">
        <v>36</v>
      </c>
      <c r="D834" t="s">
        <v>22</v>
      </c>
      <c r="E834" t="s">
        <v>40</v>
      </c>
      <c r="F834" s="2">
        <v>45685</v>
      </c>
      <c r="G834" s="2">
        <v>45686</v>
      </c>
      <c r="H834" t="s">
        <v>31</v>
      </c>
      <c r="I834" t="s">
        <v>85</v>
      </c>
      <c r="J834" s="2">
        <v>45687</v>
      </c>
      <c r="K834" s="2">
        <v>45687</v>
      </c>
      <c r="L834" t="s">
        <v>26</v>
      </c>
      <c r="M834" t="s">
        <v>27</v>
      </c>
      <c r="O834" t="s">
        <v>34</v>
      </c>
      <c r="Q834">
        <f t="shared" si="48"/>
        <v>1</v>
      </c>
      <c r="R834" s="3">
        <f t="shared" si="49"/>
        <v>2</v>
      </c>
      <c r="S834">
        <f t="shared" si="50"/>
        <v>0</v>
      </c>
      <c r="T834">
        <f t="shared" si="51"/>
        <v>0</v>
      </c>
    </row>
    <row r="835" spans="1:20" x14ac:dyDescent="0.25">
      <c r="A835" t="s">
        <v>901</v>
      </c>
      <c r="B835">
        <v>834</v>
      </c>
      <c r="C835" t="s">
        <v>51</v>
      </c>
      <c r="D835" t="s">
        <v>30</v>
      </c>
      <c r="E835" t="s">
        <v>53</v>
      </c>
      <c r="F835" s="2">
        <v>45892</v>
      </c>
      <c r="G835" s="2">
        <v>45892</v>
      </c>
      <c r="H835" t="s">
        <v>24</v>
      </c>
      <c r="I835" t="s">
        <v>25</v>
      </c>
      <c r="J835" s="2">
        <v>45893</v>
      </c>
      <c r="K835" s="2">
        <v>45893</v>
      </c>
      <c r="L835" t="s">
        <v>26</v>
      </c>
      <c r="M835" t="s">
        <v>27</v>
      </c>
      <c r="O835" t="s">
        <v>28</v>
      </c>
      <c r="Q835">
        <f t="shared" ref="Q835:Q898" si="52">IF(K835&lt;=J835,1,0)</f>
        <v>1</v>
      </c>
      <c r="R835" s="3">
        <f t="shared" ref="R835:R898" si="53">(J835-F835)</f>
        <v>1</v>
      </c>
      <c r="S835">
        <f t="shared" ref="S835:S898" si="54">IF(M835="Delayed",1,0)</f>
        <v>0</v>
      </c>
      <c r="T835">
        <f t="shared" ref="T835:T898" si="55">IF(L835="n",1,0)</f>
        <v>0</v>
      </c>
    </row>
    <row r="836" spans="1:20" x14ac:dyDescent="0.25">
      <c r="A836" t="s">
        <v>902</v>
      </c>
      <c r="B836">
        <v>835</v>
      </c>
      <c r="C836" t="s">
        <v>59</v>
      </c>
      <c r="D836" t="s">
        <v>52</v>
      </c>
      <c r="E836" t="s">
        <v>60</v>
      </c>
      <c r="F836" s="2">
        <v>45964</v>
      </c>
      <c r="G836" s="2">
        <v>45966</v>
      </c>
      <c r="H836" t="s">
        <v>31</v>
      </c>
      <c r="I836" t="s">
        <v>85</v>
      </c>
      <c r="J836" s="2">
        <v>45970</v>
      </c>
      <c r="K836" s="2">
        <v>45970</v>
      </c>
      <c r="L836" t="s">
        <v>46</v>
      </c>
      <c r="M836" t="s">
        <v>57</v>
      </c>
      <c r="O836" t="s">
        <v>69</v>
      </c>
      <c r="Q836">
        <f t="shared" si="52"/>
        <v>1</v>
      </c>
      <c r="R836" s="3">
        <f t="shared" si="53"/>
        <v>6</v>
      </c>
      <c r="S836">
        <f t="shared" si="54"/>
        <v>0</v>
      </c>
      <c r="T836">
        <f t="shared" si="55"/>
        <v>1</v>
      </c>
    </row>
    <row r="837" spans="1:20" x14ac:dyDescent="0.25">
      <c r="A837" t="s">
        <v>903</v>
      </c>
      <c r="B837">
        <v>836</v>
      </c>
      <c r="C837" t="s">
        <v>21</v>
      </c>
      <c r="D837" t="s">
        <v>22</v>
      </c>
      <c r="E837" t="s">
        <v>40</v>
      </c>
      <c r="F837" s="2">
        <v>45757</v>
      </c>
      <c r="G837" s="2">
        <v>45758</v>
      </c>
      <c r="H837" t="s">
        <v>45</v>
      </c>
      <c r="I837" t="s">
        <v>73</v>
      </c>
      <c r="J837" s="2">
        <v>45763</v>
      </c>
      <c r="K837" s="2">
        <v>45763</v>
      </c>
      <c r="L837" t="s">
        <v>26</v>
      </c>
      <c r="M837" t="s">
        <v>57</v>
      </c>
      <c r="O837" t="s">
        <v>28</v>
      </c>
      <c r="P837" t="s">
        <v>71</v>
      </c>
      <c r="Q837">
        <f t="shared" si="52"/>
        <v>1</v>
      </c>
      <c r="R837" s="3">
        <f t="shared" si="53"/>
        <v>6</v>
      </c>
      <c r="S837">
        <f t="shared" si="54"/>
        <v>0</v>
      </c>
      <c r="T837">
        <f t="shared" si="55"/>
        <v>0</v>
      </c>
    </row>
    <row r="838" spans="1:20" x14ac:dyDescent="0.25">
      <c r="A838" t="s">
        <v>904</v>
      </c>
      <c r="B838">
        <v>837</v>
      </c>
      <c r="C838" t="s">
        <v>78</v>
      </c>
      <c r="D838" t="s">
        <v>39</v>
      </c>
      <c r="E838" t="s">
        <v>40</v>
      </c>
      <c r="F838" s="2">
        <v>45848</v>
      </c>
      <c r="G838" s="2">
        <v>45848</v>
      </c>
      <c r="H838" t="s">
        <v>31</v>
      </c>
      <c r="I838" t="s">
        <v>42</v>
      </c>
      <c r="J838" s="2">
        <v>45850</v>
      </c>
      <c r="K838" s="2">
        <v>45850</v>
      </c>
      <c r="L838" t="s">
        <v>26</v>
      </c>
      <c r="M838" t="s">
        <v>57</v>
      </c>
      <c r="O838" t="s">
        <v>37</v>
      </c>
      <c r="Q838">
        <f t="shared" si="52"/>
        <v>1</v>
      </c>
      <c r="R838" s="3">
        <f t="shared" si="53"/>
        <v>2</v>
      </c>
      <c r="S838">
        <f t="shared" si="54"/>
        <v>0</v>
      </c>
      <c r="T838">
        <f t="shared" si="55"/>
        <v>0</v>
      </c>
    </row>
    <row r="839" spans="1:20" x14ac:dyDescent="0.25">
      <c r="A839" t="s">
        <v>905</v>
      </c>
      <c r="B839">
        <v>838</v>
      </c>
      <c r="C839" t="s">
        <v>59</v>
      </c>
      <c r="D839" t="s">
        <v>22</v>
      </c>
      <c r="E839" t="s">
        <v>53</v>
      </c>
      <c r="F839" s="2">
        <v>46011</v>
      </c>
      <c r="G839" s="2">
        <v>46011</v>
      </c>
      <c r="H839" t="s">
        <v>61</v>
      </c>
      <c r="I839" t="s">
        <v>25</v>
      </c>
      <c r="J839" s="2">
        <v>46016</v>
      </c>
      <c r="K839" s="2">
        <v>46018</v>
      </c>
      <c r="L839" t="s">
        <v>46</v>
      </c>
      <c r="M839" t="s">
        <v>32</v>
      </c>
      <c r="N839" t="s">
        <v>264</v>
      </c>
      <c r="O839" t="s">
        <v>34</v>
      </c>
      <c r="P839" t="s">
        <v>93</v>
      </c>
      <c r="Q839">
        <f t="shared" si="52"/>
        <v>0</v>
      </c>
      <c r="R839" s="3">
        <f t="shared" si="53"/>
        <v>5</v>
      </c>
      <c r="S839">
        <f t="shared" si="54"/>
        <v>1</v>
      </c>
      <c r="T839">
        <f t="shared" si="55"/>
        <v>1</v>
      </c>
    </row>
    <row r="840" spans="1:20" x14ac:dyDescent="0.25">
      <c r="A840" t="s">
        <v>906</v>
      </c>
      <c r="B840">
        <v>839</v>
      </c>
      <c r="C840" t="s">
        <v>78</v>
      </c>
      <c r="D840" t="s">
        <v>52</v>
      </c>
      <c r="E840" t="s">
        <v>23</v>
      </c>
      <c r="F840" s="2">
        <v>45835</v>
      </c>
      <c r="G840" s="2">
        <v>45837</v>
      </c>
      <c r="H840" t="s">
        <v>31</v>
      </c>
      <c r="I840" t="s">
        <v>73</v>
      </c>
      <c r="J840" s="2">
        <v>45840</v>
      </c>
      <c r="K840" s="2">
        <v>45840</v>
      </c>
      <c r="L840" t="s">
        <v>26</v>
      </c>
      <c r="M840" t="s">
        <v>57</v>
      </c>
      <c r="O840" t="s">
        <v>34</v>
      </c>
      <c r="Q840">
        <f t="shared" si="52"/>
        <v>1</v>
      </c>
      <c r="R840" s="3">
        <f t="shared" si="53"/>
        <v>5</v>
      </c>
      <c r="S840">
        <f t="shared" si="54"/>
        <v>0</v>
      </c>
      <c r="T840">
        <f t="shared" si="55"/>
        <v>0</v>
      </c>
    </row>
    <row r="841" spans="1:20" x14ac:dyDescent="0.25">
      <c r="A841" t="s">
        <v>907</v>
      </c>
      <c r="B841">
        <v>840</v>
      </c>
      <c r="C841" t="s">
        <v>36</v>
      </c>
      <c r="D841" t="s">
        <v>64</v>
      </c>
      <c r="E841" t="s">
        <v>60</v>
      </c>
      <c r="F841" s="2">
        <v>46001</v>
      </c>
      <c r="G841" s="2">
        <v>46001</v>
      </c>
      <c r="H841" t="s">
        <v>45</v>
      </c>
      <c r="I841" t="s">
        <v>54</v>
      </c>
      <c r="J841" s="2">
        <v>46002</v>
      </c>
      <c r="K841" s="2">
        <v>46004</v>
      </c>
      <c r="L841" t="s">
        <v>46</v>
      </c>
      <c r="M841" t="s">
        <v>32</v>
      </c>
      <c r="N841" t="s">
        <v>49</v>
      </c>
      <c r="O841" t="s">
        <v>37</v>
      </c>
      <c r="Q841">
        <f t="shared" si="52"/>
        <v>0</v>
      </c>
      <c r="R841" s="3">
        <f t="shared" si="53"/>
        <v>1</v>
      </c>
      <c r="S841">
        <f t="shared" si="54"/>
        <v>1</v>
      </c>
      <c r="T841">
        <f t="shared" si="55"/>
        <v>1</v>
      </c>
    </row>
    <row r="842" spans="1:20" x14ac:dyDescent="0.25">
      <c r="A842" t="s">
        <v>908</v>
      </c>
      <c r="B842">
        <v>841</v>
      </c>
      <c r="C842" t="s">
        <v>78</v>
      </c>
      <c r="D842" t="s">
        <v>22</v>
      </c>
      <c r="E842" t="s">
        <v>40</v>
      </c>
      <c r="F842" s="2">
        <v>45980</v>
      </c>
      <c r="G842" s="2">
        <v>45981</v>
      </c>
      <c r="H842" t="s">
        <v>61</v>
      </c>
      <c r="I842" t="s">
        <v>62</v>
      </c>
      <c r="J842" s="2">
        <v>45987</v>
      </c>
      <c r="K842" s="2">
        <v>45988</v>
      </c>
      <c r="L842" t="s">
        <v>26</v>
      </c>
      <c r="M842" t="s">
        <v>27</v>
      </c>
      <c r="O842" t="s">
        <v>34</v>
      </c>
      <c r="P842" t="s">
        <v>76</v>
      </c>
      <c r="Q842">
        <f t="shared" si="52"/>
        <v>0</v>
      </c>
      <c r="R842" s="3">
        <f t="shared" si="53"/>
        <v>7</v>
      </c>
      <c r="S842">
        <f t="shared" si="54"/>
        <v>0</v>
      </c>
      <c r="T842">
        <f t="shared" si="55"/>
        <v>0</v>
      </c>
    </row>
    <row r="843" spans="1:20" x14ac:dyDescent="0.25">
      <c r="A843" t="s">
        <v>909</v>
      </c>
      <c r="B843">
        <v>842</v>
      </c>
      <c r="C843" t="s">
        <v>78</v>
      </c>
      <c r="D843" t="s">
        <v>22</v>
      </c>
      <c r="E843" t="s">
        <v>40</v>
      </c>
      <c r="F843" s="2">
        <v>45847</v>
      </c>
      <c r="G843" s="2">
        <v>45848</v>
      </c>
      <c r="H843" t="s">
        <v>24</v>
      </c>
      <c r="I843" t="s">
        <v>85</v>
      </c>
      <c r="J843" s="2">
        <v>45849</v>
      </c>
      <c r="K843" s="2">
        <v>45853</v>
      </c>
      <c r="L843" t="s">
        <v>26</v>
      </c>
      <c r="M843" t="s">
        <v>32</v>
      </c>
      <c r="N843" t="s">
        <v>33</v>
      </c>
      <c r="O843" t="s">
        <v>34</v>
      </c>
      <c r="Q843">
        <f t="shared" si="52"/>
        <v>0</v>
      </c>
      <c r="R843" s="3">
        <f t="shared" si="53"/>
        <v>2</v>
      </c>
      <c r="S843">
        <f t="shared" si="54"/>
        <v>1</v>
      </c>
      <c r="T843">
        <f t="shared" si="55"/>
        <v>0</v>
      </c>
    </row>
    <row r="844" spans="1:20" x14ac:dyDescent="0.25">
      <c r="A844" t="s">
        <v>910</v>
      </c>
      <c r="B844">
        <v>843</v>
      </c>
      <c r="C844" t="s">
        <v>51</v>
      </c>
      <c r="D844" t="s">
        <v>52</v>
      </c>
      <c r="E844" t="s">
        <v>40</v>
      </c>
      <c r="F844" s="2">
        <v>45913</v>
      </c>
      <c r="G844" s="2">
        <v>45915</v>
      </c>
      <c r="H844" t="s">
        <v>41</v>
      </c>
      <c r="I844" t="s">
        <v>85</v>
      </c>
      <c r="J844" s="2">
        <v>45917</v>
      </c>
      <c r="K844" s="2">
        <v>45919</v>
      </c>
      <c r="L844" t="s">
        <v>26</v>
      </c>
      <c r="M844" t="s">
        <v>32</v>
      </c>
      <c r="N844" t="s">
        <v>67</v>
      </c>
      <c r="O844" t="s">
        <v>43</v>
      </c>
      <c r="Q844">
        <f t="shared" si="52"/>
        <v>0</v>
      </c>
      <c r="R844" s="3">
        <f t="shared" si="53"/>
        <v>4</v>
      </c>
      <c r="S844">
        <f t="shared" si="54"/>
        <v>1</v>
      </c>
      <c r="T844">
        <f t="shared" si="55"/>
        <v>0</v>
      </c>
    </row>
    <row r="845" spans="1:20" x14ac:dyDescent="0.25">
      <c r="A845" t="s">
        <v>911</v>
      </c>
      <c r="B845">
        <v>844</v>
      </c>
      <c r="C845" t="s">
        <v>51</v>
      </c>
      <c r="D845" t="s">
        <v>30</v>
      </c>
      <c r="E845" t="s">
        <v>60</v>
      </c>
      <c r="F845" s="2">
        <v>45683</v>
      </c>
      <c r="G845" s="2">
        <v>45684</v>
      </c>
      <c r="H845" t="s">
        <v>61</v>
      </c>
      <c r="I845" t="s">
        <v>42</v>
      </c>
      <c r="J845" s="2">
        <v>45686</v>
      </c>
      <c r="K845" s="2">
        <v>45686</v>
      </c>
      <c r="L845" t="s">
        <v>26</v>
      </c>
      <c r="M845" t="s">
        <v>57</v>
      </c>
      <c r="O845" t="s">
        <v>37</v>
      </c>
      <c r="Q845">
        <f t="shared" si="52"/>
        <v>1</v>
      </c>
      <c r="R845" s="3">
        <f t="shared" si="53"/>
        <v>3</v>
      </c>
      <c r="S845">
        <f t="shared" si="54"/>
        <v>0</v>
      </c>
      <c r="T845">
        <f t="shared" si="55"/>
        <v>0</v>
      </c>
    </row>
    <row r="846" spans="1:20" x14ac:dyDescent="0.25">
      <c r="A846" t="s">
        <v>912</v>
      </c>
      <c r="B846">
        <v>845</v>
      </c>
      <c r="C846" t="s">
        <v>36</v>
      </c>
      <c r="D846" t="s">
        <v>52</v>
      </c>
      <c r="E846" t="s">
        <v>40</v>
      </c>
      <c r="F846" s="2">
        <v>45877</v>
      </c>
      <c r="G846" s="2">
        <v>45879</v>
      </c>
      <c r="H846" t="s">
        <v>31</v>
      </c>
      <c r="I846" t="s">
        <v>62</v>
      </c>
      <c r="J846" s="2">
        <v>45883</v>
      </c>
      <c r="K846" s="2">
        <v>45883</v>
      </c>
      <c r="L846" t="s">
        <v>26</v>
      </c>
      <c r="M846" t="s">
        <v>57</v>
      </c>
      <c r="O846" t="s">
        <v>81</v>
      </c>
      <c r="Q846">
        <f t="shared" si="52"/>
        <v>1</v>
      </c>
      <c r="R846" s="3">
        <f t="shared" si="53"/>
        <v>6</v>
      </c>
      <c r="S846">
        <f t="shared" si="54"/>
        <v>0</v>
      </c>
      <c r="T846">
        <f t="shared" si="55"/>
        <v>0</v>
      </c>
    </row>
    <row r="847" spans="1:20" x14ac:dyDescent="0.25">
      <c r="A847" t="s">
        <v>913</v>
      </c>
      <c r="B847">
        <v>846</v>
      </c>
      <c r="C847" t="s">
        <v>59</v>
      </c>
      <c r="D847" t="s">
        <v>30</v>
      </c>
      <c r="E847" t="s">
        <v>23</v>
      </c>
      <c r="F847" s="2">
        <v>45938</v>
      </c>
      <c r="G847" s="2">
        <v>45938</v>
      </c>
      <c r="H847" t="s">
        <v>45</v>
      </c>
      <c r="I847" t="s">
        <v>73</v>
      </c>
      <c r="J847" s="2">
        <v>45943</v>
      </c>
      <c r="K847" s="2">
        <v>45943</v>
      </c>
      <c r="L847" t="s">
        <v>26</v>
      </c>
      <c r="M847" t="s">
        <v>27</v>
      </c>
      <c r="O847" t="s">
        <v>28</v>
      </c>
      <c r="Q847">
        <f t="shared" si="52"/>
        <v>1</v>
      </c>
      <c r="R847" s="3">
        <f t="shared" si="53"/>
        <v>5</v>
      </c>
      <c r="S847">
        <f t="shared" si="54"/>
        <v>0</v>
      </c>
      <c r="T847">
        <f t="shared" si="55"/>
        <v>0</v>
      </c>
    </row>
    <row r="848" spans="1:20" x14ac:dyDescent="0.25">
      <c r="A848" t="s">
        <v>914</v>
      </c>
      <c r="B848">
        <v>847</v>
      </c>
      <c r="C848" t="s">
        <v>51</v>
      </c>
      <c r="D848" t="s">
        <v>52</v>
      </c>
      <c r="E848" t="s">
        <v>60</v>
      </c>
      <c r="F848" s="2">
        <v>45753</v>
      </c>
      <c r="G848" s="2">
        <v>45753</v>
      </c>
      <c r="H848" t="s">
        <v>31</v>
      </c>
      <c r="I848" t="s">
        <v>73</v>
      </c>
      <c r="J848" s="2">
        <v>45754</v>
      </c>
      <c r="K848" s="2">
        <v>45754</v>
      </c>
      <c r="L848" t="s">
        <v>26</v>
      </c>
      <c r="M848" t="s">
        <v>57</v>
      </c>
      <c r="O848" t="s">
        <v>69</v>
      </c>
      <c r="Q848">
        <f t="shared" si="52"/>
        <v>1</v>
      </c>
      <c r="R848" s="3">
        <f t="shared" si="53"/>
        <v>1</v>
      </c>
      <c r="S848">
        <f t="shared" si="54"/>
        <v>0</v>
      </c>
      <c r="T848">
        <f t="shared" si="55"/>
        <v>0</v>
      </c>
    </row>
    <row r="849" spans="1:20" x14ac:dyDescent="0.25">
      <c r="A849" t="s">
        <v>915</v>
      </c>
      <c r="B849">
        <v>848</v>
      </c>
      <c r="C849" t="s">
        <v>51</v>
      </c>
      <c r="D849" t="s">
        <v>39</v>
      </c>
      <c r="E849" t="s">
        <v>56</v>
      </c>
      <c r="F849" s="2">
        <v>45673</v>
      </c>
      <c r="G849" s="2">
        <v>45675</v>
      </c>
      <c r="H849" t="s">
        <v>31</v>
      </c>
      <c r="I849" t="s">
        <v>85</v>
      </c>
      <c r="J849" s="2">
        <v>45679</v>
      </c>
      <c r="K849" s="2">
        <v>45679</v>
      </c>
      <c r="L849" t="s">
        <v>26</v>
      </c>
      <c r="M849" t="s">
        <v>57</v>
      </c>
      <c r="O849" t="s">
        <v>28</v>
      </c>
      <c r="P849" t="s">
        <v>71</v>
      </c>
      <c r="Q849">
        <f t="shared" si="52"/>
        <v>1</v>
      </c>
      <c r="R849" s="3">
        <f t="shared" si="53"/>
        <v>6</v>
      </c>
      <c r="S849">
        <f t="shared" si="54"/>
        <v>0</v>
      </c>
      <c r="T849">
        <f t="shared" si="55"/>
        <v>0</v>
      </c>
    </row>
    <row r="850" spans="1:20" x14ac:dyDescent="0.25">
      <c r="A850" t="s">
        <v>916</v>
      </c>
      <c r="B850">
        <v>849</v>
      </c>
      <c r="C850" t="s">
        <v>51</v>
      </c>
      <c r="D850" t="s">
        <v>64</v>
      </c>
      <c r="E850" t="s">
        <v>56</v>
      </c>
      <c r="F850" s="2">
        <v>45673</v>
      </c>
      <c r="G850" s="2">
        <v>45675</v>
      </c>
      <c r="H850" t="s">
        <v>41</v>
      </c>
      <c r="I850" t="s">
        <v>62</v>
      </c>
      <c r="J850" s="2">
        <v>45679</v>
      </c>
      <c r="K850" s="2">
        <v>45681</v>
      </c>
      <c r="L850" t="s">
        <v>46</v>
      </c>
      <c r="M850" t="s">
        <v>32</v>
      </c>
      <c r="N850" t="s">
        <v>75</v>
      </c>
      <c r="O850" t="s">
        <v>81</v>
      </c>
      <c r="Q850">
        <f t="shared" si="52"/>
        <v>0</v>
      </c>
      <c r="R850" s="3">
        <f t="shared" si="53"/>
        <v>6</v>
      </c>
      <c r="S850">
        <f t="shared" si="54"/>
        <v>1</v>
      </c>
      <c r="T850">
        <f t="shared" si="55"/>
        <v>1</v>
      </c>
    </row>
    <row r="851" spans="1:20" x14ac:dyDescent="0.25">
      <c r="A851" t="s">
        <v>917</v>
      </c>
      <c r="B851">
        <v>850</v>
      </c>
      <c r="C851" t="s">
        <v>51</v>
      </c>
      <c r="D851" t="s">
        <v>39</v>
      </c>
      <c r="E851" t="s">
        <v>60</v>
      </c>
      <c r="F851" s="2">
        <v>45722</v>
      </c>
      <c r="G851" s="2">
        <v>45724</v>
      </c>
      <c r="H851" t="s">
        <v>24</v>
      </c>
      <c r="I851" t="s">
        <v>62</v>
      </c>
      <c r="J851" s="2">
        <v>45725</v>
      </c>
      <c r="K851" s="2">
        <v>45726</v>
      </c>
      <c r="L851" t="s">
        <v>46</v>
      </c>
      <c r="M851" t="s">
        <v>57</v>
      </c>
      <c r="O851" t="s">
        <v>34</v>
      </c>
      <c r="Q851">
        <f t="shared" si="52"/>
        <v>0</v>
      </c>
      <c r="R851" s="3">
        <f t="shared" si="53"/>
        <v>3</v>
      </c>
      <c r="S851">
        <f t="shared" si="54"/>
        <v>0</v>
      </c>
      <c r="T851">
        <f t="shared" si="55"/>
        <v>1</v>
      </c>
    </row>
    <row r="852" spans="1:20" x14ac:dyDescent="0.25">
      <c r="A852" t="s">
        <v>918</v>
      </c>
      <c r="B852">
        <v>851</v>
      </c>
      <c r="C852" t="s">
        <v>78</v>
      </c>
      <c r="D852" t="s">
        <v>52</v>
      </c>
      <c r="E852" t="s">
        <v>40</v>
      </c>
      <c r="F852" s="2">
        <v>45753</v>
      </c>
      <c r="G852" s="2">
        <v>45755</v>
      </c>
      <c r="H852" t="s">
        <v>24</v>
      </c>
      <c r="I852" t="s">
        <v>83</v>
      </c>
      <c r="J852" s="2">
        <v>45757</v>
      </c>
      <c r="K852" s="2">
        <v>45757</v>
      </c>
      <c r="L852" t="s">
        <v>26</v>
      </c>
      <c r="M852" t="s">
        <v>27</v>
      </c>
      <c r="O852" t="s">
        <v>43</v>
      </c>
      <c r="P852" t="s">
        <v>71</v>
      </c>
      <c r="Q852">
        <f t="shared" si="52"/>
        <v>1</v>
      </c>
      <c r="R852" s="3">
        <f t="shared" si="53"/>
        <v>4</v>
      </c>
      <c r="S852">
        <f t="shared" si="54"/>
        <v>0</v>
      </c>
      <c r="T852">
        <f t="shared" si="55"/>
        <v>0</v>
      </c>
    </row>
    <row r="853" spans="1:20" x14ac:dyDescent="0.25">
      <c r="A853" t="s">
        <v>919</v>
      </c>
      <c r="B853">
        <v>852</v>
      </c>
      <c r="C853" t="s">
        <v>51</v>
      </c>
      <c r="D853" t="s">
        <v>22</v>
      </c>
      <c r="E853" t="s">
        <v>53</v>
      </c>
      <c r="F853" s="2">
        <v>45981</v>
      </c>
      <c r="G853" s="2">
        <v>45983</v>
      </c>
      <c r="H853" t="s">
        <v>31</v>
      </c>
      <c r="I853" t="s">
        <v>54</v>
      </c>
      <c r="J853" s="2">
        <v>45984</v>
      </c>
      <c r="K853" s="2">
        <v>45984</v>
      </c>
      <c r="L853" t="s">
        <v>26</v>
      </c>
      <c r="M853" t="s">
        <v>27</v>
      </c>
      <c r="O853" t="s">
        <v>81</v>
      </c>
      <c r="Q853">
        <f t="shared" si="52"/>
        <v>1</v>
      </c>
      <c r="R853" s="3">
        <f t="shared" si="53"/>
        <v>3</v>
      </c>
      <c r="S853">
        <f t="shared" si="54"/>
        <v>0</v>
      </c>
      <c r="T853">
        <f t="shared" si="55"/>
        <v>0</v>
      </c>
    </row>
    <row r="854" spans="1:20" x14ac:dyDescent="0.25">
      <c r="A854" t="s">
        <v>920</v>
      </c>
      <c r="B854">
        <v>853</v>
      </c>
      <c r="C854" t="s">
        <v>51</v>
      </c>
      <c r="D854" t="s">
        <v>22</v>
      </c>
      <c r="E854" t="s">
        <v>53</v>
      </c>
      <c r="F854" s="2">
        <v>45844</v>
      </c>
      <c r="G854" s="2">
        <v>45845</v>
      </c>
      <c r="H854" t="s">
        <v>45</v>
      </c>
      <c r="I854" t="s">
        <v>83</v>
      </c>
      <c r="J854" s="2">
        <v>45846</v>
      </c>
      <c r="K854" s="2">
        <v>45846</v>
      </c>
      <c r="L854" t="s">
        <v>26</v>
      </c>
      <c r="M854" t="s">
        <v>57</v>
      </c>
      <c r="O854" t="s">
        <v>37</v>
      </c>
      <c r="Q854">
        <f t="shared" si="52"/>
        <v>1</v>
      </c>
      <c r="R854" s="3">
        <f t="shared" si="53"/>
        <v>2</v>
      </c>
      <c r="S854">
        <f t="shared" si="54"/>
        <v>0</v>
      </c>
      <c r="T854">
        <f t="shared" si="55"/>
        <v>0</v>
      </c>
    </row>
    <row r="855" spans="1:20" x14ac:dyDescent="0.25">
      <c r="A855" t="s">
        <v>921</v>
      </c>
      <c r="B855">
        <v>854</v>
      </c>
      <c r="C855" t="s">
        <v>36</v>
      </c>
      <c r="D855" t="s">
        <v>39</v>
      </c>
      <c r="E855" t="s">
        <v>56</v>
      </c>
      <c r="F855" s="2">
        <v>45890</v>
      </c>
      <c r="G855" s="2">
        <v>45892</v>
      </c>
      <c r="H855" t="s">
        <v>24</v>
      </c>
      <c r="I855" t="s">
        <v>25</v>
      </c>
      <c r="J855" s="2">
        <v>45894</v>
      </c>
      <c r="K855" s="2">
        <v>45894</v>
      </c>
      <c r="L855" t="s">
        <v>46</v>
      </c>
      <c r="M855" t="s">
        <v>27</v>
      </c>
      <c r="O855" t="s">
        <v>69</v>
      </c>
      <c r="P855" t="s">
        <v>93</v>
      </c>
      <c r="Q855">
        <f t="shared" si="52"/>
        <v>1</v>
      </c>
      <c r="R855" s="3">
        <f t="shared" si="53"/>
        <v>4</v>
      </c>
      <c r="S855">
        <f t="shared" si="54"/>
        <v>0</v>
      </c>
      <c r="T855">
        <f t="shared" si="55"/>
        <v>1</v>
      </c>
    </row>
    <row r="856" spans="1:20" x14ac:dyDescent="0.25">
      <c r="A856" t="s">
        <v>922</v>
      </c>
      <c r="B856">
        <v>855</v>
      </c>
      <c r="C856" t="s">
        <v>51</v>
      </c>
      <c r="D856" t="s">
        <v>52</v>
      </c>
      <c r="E856" t="s">
        <v>53</v>
      </c>
      <c r="F856" s="2">
        <v>45803</v>
      </c>
      <c r="G856" s="2">
        <v>45805</v>
      </c>
      <c r="H856" t="s">
        <v>61</v>
      </c>
      <c r="I856" t="s">
        <v>83</v>
      </c>
      <c r="J856" s="2">
        <v>45808</v>
      </c>
      <c r="K856" s="2">
        <v>45808</v>
      </c>
      <c r="L856" t="s">
        <v>26</v>
      </c>
      <c r="M856" t="s">
        <v>57</v>
      </c>
      <c r="O856" t="s">
        <v>37</v>
      </c>
      <c r="P856" t="s">
        <v>71</v>
      </c>
      <c r="Q856">
        <f t="shared" si="52"/>
        <v>1</v>
      </c>
      <c r="R856" s="3">
        <f t="shared" si="53"/>
        <v>5</v>
      </c>
      <c r="S856">
        <f t="shared" si="54"/>
        <v>0</v>
      </c>
      <c r="T856">
        <f t="shared" si="55"/>
        <v>0</v>
      </c>
    </row>
    <row r="857" spans="1:20" x14ac:dyDescent="0.25">
      <c r="A857" t="s">
        <v>923</v>
      </c>
      <c r="B857">
        <v>856</v>
      </c>
      <c r="C857" t="s">
        <v>21</v>
      </c>
      <c r="D857" t="s">
        <v>52</v>
      </c>
      <c r="E857" t="s">
        <v>40</v>
      </c>
      <c r="F857" s="2">
        <v>45797</v>
      </c>
      <c r="G857" s="2">
        <v>45797</v>
      </c>
      <c r="H857" t="s">
        <v>45</v>
      </c>
      <c r="I857" t="s">
        <v>73</v>
      </c>
      <c r="J857" s="2">
        <v>45798</v>
      </c>
      <c r="K857" s="2">
        <v>45798</v>
      </c>
      <c r="L857" t="s">
        <v>26</v>
      </c>
      <c r="M857" t="s">
        <v>27</v>
      </c>
      <c r="O857" t="s">
        <v>37</v>
      </c>
      <c r="P857" t="s">
        <v>76</v>
      </c>
      <c r="Q857">
        <f t="shared" si="52"/>
        <v>1</v>
      </c>
      <c r="R857" s="3">
        <f t="shared" si="53"/>
        <v>1</v>
      </c>
      <c r="S857">
        <f t="shared" si="54"/>
        <v>0</v>
      </c>
      <c r="T857">
        <f t="shared" si="55"/>
        <v>0</v>
      </c>
    </row>
    <row r="858" spans="1:20" x14ac:dyDescent="0.25">
      <c r="A858" t="s">
        <v>924</v>
      </c>
      <c r="B858">
        <v>857</v>
      </c>
      <c r="C858" t="s">
        <v>21</v>
      </c>
      <c r="D858" t="s">
        <v>52</v>
      </c>
      <c r="E858" t="s">
        <v>23</v>
      </c>
      <c r="F858" s="2">
        <v>45876</v>
      </c>
      <c r="G858" s="2">
        <v>45877</v>
      </c>
      <c r="H858" t="s">
        <v>61</v>
      </c>
      <c r="I858" t="s">
        <v>73</v>
      </c>
      <c r="J858" s="2">
        <v>45880</v>
      </c>
      <c r="K858" s="2">
        <v>45880</v>
      </c>
      <c r="L858" t="s">
        <v>46</v>
      </c>
      <c r="M858" t="s">
        <v>57</v>
      </c>
      <c r="O858" t="s">
        <v>81</v>
      </c>
      <c r="Q858">
        <f t="shared" si="52"/>
        <v>1</v>
      </c>
      <c r="R858" s="3">
        <f t="shared" si="53"/>
        <v>4</v>
      </c>
      <c r="S858">
        <f t="shared" si="54"/>
        <v>0</v>
      </c>
      <c r="T858">
        <f t="shared" si="55"/>
        <v>1</v>
      </c>
    </row>
    <row r="859" spans="1:20" x14ac:dyDescent="0.25">
      <c r="A859" t="s">
        <v>925</v>
      </c>
      <c r="B859">
        <v>858</v>
      </c>
      <c r="C859" t="s">
        <v>21</v>
      </c>
      <c r="D859" t="s">
        <v>39</v>
      </c>
      <c r="E859" t="s">
        <v>23</v>
      </c>
      <c r="F859" s="2">
        <v>45937</v>
      </c>
      <c r="G859" s="2">
        <v>45939</v>
      </c>
      <c r="H859" t="s">
        <v>31</v>
      </c>
      <c r="I859" t="s">
        <v>54</v>
      </c>
      <c r="J859" s="2">
        <v>45941</v>
      </c>
      <c r="K859" s="2">
        <v>45941</v>
      </c>
      <c r="L859" t="s">
        <v>26</v>
      </c>
      <c r="M859" t="s">
        <v>27</v>
      </c>
      <c r="O859" t="s">
        <v>28</v>
      </c>
      <c r="Q859">
        <f t="shared" si="52"/>
        <v>1</v>
      </c>
      <c r="R859" s="3">
        <f t="shared" si="53"/>
        <v>4</v>
      </c>
      <c r="S859">
        <f t="shared" si="54"/>
        <v>0</v>
      </c>
      <c r="T859">
        <f t="shared" si="55"/>
        <v>0</v>
      </c>
    </row>
    <row r="860" spans="1:20" x14ac:dyDescent="0.25">
      <c r="A860" t="s">
        <v>926</v>
      </c>
      <c r="B860">
        <v>859</v>
      </c>
      <c r="C860" t="s">
        <v>21</v>
      </c>
      <c r="D860" t="s">
        <v>52</v>
      </c>
      <c r="E860" t="s">
        <v>40</v>
      </c>
      <c r="F860" s="2">
        <v>45725</v>
      </c>
      <c r="G860" s="2">
        <v>45726</v>
      </c>
      <c r="H860" t="s">
        <v>31</v>
      </c>
      <c r="I860" t="s">
        <v>85</v>
      </c>
      <c r="J860" s="2">
        <v>45728</v>
      </c>
      <c r="K860" s="2">
        <v>45730</v>
      </c>
      <c r="L860" t="s">
        <v>26</v>
      </c>
      <c r="M860" t="s">
        <v>32</v>
      </c>
      <c r="N860" t="s">
        <v>47</v>
      </c>
      <c r="O860" t="s">
        <v>37</v>
      </c>
      <c r="Q860">
        <f t="shared" si="52"/>
        <v>0</v>
      </c>
      <c r="R860" s="3">
        <f t="shared" si="53"/>
        <v>3</v>
      </c>
      <c r="S860">
        <f t="shared" si="54"/>
        <v>1</v>
      </c>
      <c r="T860">
        <f t="shared" si="55"/>
        <v>0</v>
      </c>
    </row>
    <row r="861" spans="1:20" x14ac:dyDescent="0.25">
      <c r="A861" t="s">
        <v>927</v>
      </c>
      <c r="B861">
        <v>860</v>
      </c>
      <c r="C861" t="s">
        <v>36</v>
      </c>
      <c r="D861" t="s">
        <v>64</v>
      </c>
      <c r="E861" t="s">
        <v>56</v>
      </c>
      <c r="F861" s="2">
        <v>45866</v>
      </c>
      <c r="G861" s="2">
        <v>45867</v>
      </c>
      <c r="H861" t="s">
        <v>31</v>
      </c>
      <c r="I861" t="s">
        <v>62</v>
      </c>
      <c r="J861" s="2">
        <v>45870</v>
      </c>
      <c r="K861" s="2">
        <v>45870</v>
      </c>
      <c r="L861" t="s">
        <v>26</v>
      </c>
      <c r="M861" t="s">
        <v>57</v>
      </c>
      <c r="O861" t="s">
        <v>43</v>
      </c>
      <c r="P861" t="s">
        <v>71</v>
      </c>
      <c r="Q861">
        <f t="shared" si="52"/>
        <v>1</v>
      </c>
      <c r="R861" s="3">
        <f t="shared" si="53"/>
        <v>4</v>
      </c>
      <c r="S861">
        <f t="shared" si="54"/>
        <v>0</v>
      </c>
      <c r="T861">
        <f t="shared" si="55"/>
        <v>0</v>
      </c>
    </row>
    <row r="862" spans="1:20" x14ac:dyDescent="0.25">
      <c r="A862" t="s">
        <v>928</v>
      </c>
      <c r="B862">
        <v>861</v>
      </c>
      <c r="C862" t="s">
        <v>21</v>
      </c>
      <c r="D862" t="s">
        <v>52</v>
      </c>
      <c r="E862" t="s">
        <v>53</v>
      </c>
      <c r="F862" s="2">
        <v>45925</v>
      </c>
      <c r="G862" s="2">
        <v>45927</v>
      </c>
      <c r="H862" t="s">
        <v>24</v>
      </c>
      <c r="I862" t="s">
        <v>83</v>
      </c>
      <c r="J862" s="2">
        <v>45930</v>
      </c>
      <c r="K862" s="2">
        <v>45930</v>
      </c>
      <c r="L862" t="s">
        <v>26</v>
      </c>
      <c r="M862" t="s">
        <v>27</v>
      </c>
      <c r="O862" t="s">
        <v>81</v>
      </c>
      <c r="Q862">
        <f t="shared" si="52"/>
        <v>1</v>
      </c>
      <c r="R862" s="3">
        <f t="shared" si="53"/>
        <v>5</v>
      </c>
      <c r="S862">
        <f t="shared" si="54"/>
        <v>0</v>
      </c>
      <c r="T862">
        <f t="shared" si="55"/>
        <v>0</v>
      </c>
    </row>
    <row r="863" spans="1:20" x14ac:dyDescent="0.25">
      <c r="A863" t="s">
        <v>929</v>
      </c>
      <c r="B863">
        <v>862</v>
      </c>
      <c r="C863" t="s">
        <v>78</v>
      </c>
      <c r="D863" t="s">
        <v>30</v>
      </c>
      <c r="E863" t="s">
        <v>23</v>
      </c>
      <c r="F863" s="2">
        <v>46016</v>
      </c>
      <c r="G863" s="2">
        <v>46017</v>
      </c>
      <c r="H863" t="s">
        <v>61</v>
      </c>
      <c r="I863" t="s">
        <v>73</v>
      </c>
      <c r="J863" s="2">
        <v>46020</v>
      </c>
      <c r="K863" s="2">
        <v>46020</v>
      </c>
      <c r="L863" t="s">
        <v>26</v>
      </c>
      <c r="M863" t="s">
        <v>57</v>
      </c>
      <c r="O863" t="s">
        <v>43</v>
      </c>
      <c r="Q863">
        <f t="shared" si="52"/>
        <v>1</v>
      </c>
      <c r="R863" s="3">
        <f t="shared" si="53"/>
        <v>4</v>
      </c>
      <c r="S863">
        <f t="shared" si="54"/>
        <v>0</v>
      </c>
      <c r="T863">
        <f t="shared" si="55"/>
        <v>0</v>
      </c>
    </row>
    <row r="864" spans="1:20" x14ac:dyDescent="0.25">
      <c r="A864" t="s">
        <v>930</v>
      </c>
      <c r="B864">
        <v>863</v>
      </c>
      <c r="C864" t="s">
        <v>51</v>
      </c>
      <c r="D864" t="s">
        <v>64</v>
      </c>
      <c r="E864" t="s">
        <v>56</v>
      </c>
      <c r="F864" s="2">
        <v>45796</v>
      </c>
      <c r="G864" s="2">
        <v>45798</v>
      </c>
      <c r="H864" t="s">
        <v>61</v>
      </c>
      <c r="I864" t="s">
        <v>83</v>
      </c>
      <c r="J864" s="2">
        <v>45799</v>
      </c>
      <c r="K864" s="2">
        <v>45801</v>
      </c>
      <c r="L864" t="s">
        <v>46</v>
      </c>
      <c r="M864" t="s">
        <v>32</v>
      </c>
      <c r="N864" t="s">
        <v>33</v>
      </c>
      <c r="O864" t="s">
        <v>37</v>
      </c>
      <c r="Q864">
        <f t="shared" si="52"/>
        <v>0</v>
      </c>
      <c r="R864" s="3">
        <f t="shared" si="53"/>
        <v>3</v>
      </c>
      <c r="S864">
        <f t="shared" si="54"/>
        <v>1</v>
      </c>
      <c r="T864">
        <f t="shared" si="55"/>
        <v>1</v>
      </c>
    </row>
    <row r="865" spans="1:20" x14ac:dyDescent="0.25">
      <c r="A865" t="s">
        <v>931</v>
      </c>
      <c r="B865">
        <v>864</v>
      </c>
      <c r="C865" t="s">
        <v>59</v>
      </c>
      <c r="D865" t="s">
        <v>39</v>
      </c>
      <c r="E865" t="s">
        <v>53</v>
      </c>
      <c r="F865" s="2">
        <v>45836</v>
      </c>
      <c r="G865" s="2">
        <v>45836</v>
      </c>
      <c r="H865" t="s">
        <v>61</v>
      </c>
      <c r="I865" t="s">
        <v>42</v>
      </c>
      <c r="J865" s="2">
        <v>45838</v>
      </c>
      <c r="K865" s="2">
        <v>45838</v>
      </c>
      <c r="L865" t="s">
        <v>26</v>
      </c>
      <c r="M865" t="s">
        <v>27</v>
      </c>
      <c r="O865" t="s">
        <v>43</v>
      </c>
      <c r="Q865">
        <f t="shared" si="52"/>
        <v>1</v>
      </c>
      <c r="R865" s="3">
        <f t="shared" si="53"/>
        <v>2</v>
      </c>
      <c r="S865">
        <f t="shared" si="54"/>
        <v>0</v>
      </c>
      <c r="T865">
        <f t="shared" si="55"/>
        <v>0</v>
      </c>
    </row>
    <row r="866" spans="1:20" x14ac:dyDescent="0.25">
      <c r="A866" t="s">
        <v>932</v>
      </c>
      <c r="B866">
        <v>865</v>
      </c>
      <c r="C866" t="s">
        <v>36</v>
      </c>
      <c r="D866" t="s">
        <v>52</v>
      </c>
      <c r="E866" t="s">
        <v>60</v>
      </c>
      <c r="F866" s="2">
        <v>45896</v>
      </c>
      <c r="G866" s="2">
        <v>45898</v>
      </c>
      <c r="H866" t="s">
        <v>24</v>
      </c>
      <c r="I866" t="s">
        <v>73</v>
      </c>
      <c r="J866" s="2">
        <v>45899</v>
      </c>
      <c r="K866" s="2">
        <v>45899</v>
      </c>
      <c r="L866" t="s">
        <v>46</v>
      </c>
      <c r="M866" t="s">
        <v>57</v>
      </c>
      <c r="O866" t="s">
        <v>28</v>
      </c>
      <c r="Q866">
        <f t="shared" si="52"/>
        <v>1</v>
      </c>
      <c r="R866" s="3">
        <f t="shared" si="53"/>
        <v>3</v>
      </c>
      <c r="S866">
        <f t="shared" si="54"/>
        <v>0</v>
      </c>
      <c r="T866">
        <f t="shared" si="55"/>
        <v>1</v>
      </c>
    </row>
    <row r="867" spans="1:20" x14ac:dyDescent="0.25">
      <c r="A867" t="s">
        <v>933</v>
      </c>
      <c r="B867">
        <v>866</v>
      </c>
      <c r="C867" t="s">
        <v>59</v>
      </c>
      <c r="D867" t="s">
        <v>52</v>
      </c>
      <c r="E867" t="s">
        <v>56</v>
      </c>
      <c r="F867" s="2">
        <v>45739</v>
      </c>
      <c r="G867" s="2">
        <v>45740</v>
      </c>
      <c r="H867" t="s">
        <v>61</v>
      </c>
      <c r="I867" t="s">
        <v>54</v>
      </c>
      <c r="J867" s="2">
        <v>45741</v>
      </c>
      <c r="K867" s="2">
        <v>45742</v>
      </c>
      <c r="L867" t="s">
        <v>46</v>
      </c>
      <c r="M867" t="s">
        <v>27</v>
      </c>
      <c r="O867" t="s">
        <v>28</v>
      </c>
      <c r="Q867">
        <f t="shared" si="52"/>
        <v>0</v>
      </c>
      <c r="R867" s="3">
        <f t="shared" si="53"/>
        <v>2</v>
      </c>
      <c r="S867">
        <f t="shared" si="54"/>
        <v>0</v>
      </c>
      <c r="T867">
        <f t="shared" si="55"/>
        <v>1</v>
      </c>
    </row>
    <row r="868" spans="1:20" x14ac:dyDescent="0.25">
      <c r="A868" t="s">
        <v>934</v>
      </c>
      <c r="B868">
        <v>867</v>
      </c>
      <c r="C868" t="s">
        <v>36</v>
      </c>
      <c r="D868" t="s">
        <v>22</v>
      </c>
      <c r="E868" t="s">
        <v>56</v>
      </c>
      <c r="F868" s="2">
        <v>45911</v>
      </c>
      <c r="G868" s="2">
        <v>45913</v>
      </c>
      <c r="H868" t="s">
        <v>41</v>
      </c>
      <c r="I868" t="s">
        <v>83</v>
      </c>
      <c r="J868" s="2">
        <v>45915</v>
      </c>
      <c r="K868" s="2">
        <v>45915</v>
      </c>
      <c r="L868" t="s">
        <v>26</v>
      </c>
      <c r="M868" t="s">
        <v>27</v>
      </c>
      <c r="O868" t="s">
        <v>81</v>
      </c>
      <c r="P868" t="s">
        <v>93</v>
      </c>
      <c r="Q868">
        <f t="shared" si="52"/>
        <v>1</v>
      </c>
      <c r="R868" s="3">
        <f t="shared" si="53"/>
        <v>4</v>
      </c>
      <c r="S868">
        <f t="shared" si="54"/>
        <v>0</v>
      </c>
      <c r="T868">
        <f t="shared" si="55"/>
        <v>0</v>
      </c>
    </row>
    <row r="869" spans="1:20" x14ac:dyDescent="0.25">
      <c r="A869" t="s">
        <v>935</v>
      </c>
      <c r="B869">
        <v>868</v>
      </c>
      <c r="C869" t="s">
        <v>36</v>
      </c>
      <c r="D869" t="s">
        <v>64</v>
      </c>
      <c r="E869" t="s">
        <v>60</v>
      </c>
      <c r="F869" s="2">
        <v>45993</v>
      </c>
      <c r="G869" s="2">
        <v>45995</v>
      </c>
      <c r="H869" t="s">
        <v>24</v>
      </c>
      <c r="I869" t="s">
        <v>83</v>
      </c>
      <c r="J869" s="2">
        <v>45999</v>
      </c>
      <c r="K869" s="2">
        <v>45999</v>
      </c>
      <c r="L869" t="s">
        <v>26</v>
      </c>
      <c r="M869" t="s">
        <v>27</v>
      </c>
      <c r="O869" t="s">
        <v>43</v>
      </c>
      <c r="Q869">
        <f t="shared" si="52"/>
        <v>1</v>
      </c>
      <c r="R869" s="3">
        <f t="shared" si="53"/>
        <v>6</v>
      </c>
      <c r="S869">
        <f t="shared" si="54"/>
        <v>0</v>
      </c>
      <c r="T869">
        <f t="shared" si="55"/>
        <v>0</v>
      </c>
    </row>
    <row r="870" spans="1:20" x14ac:dyDescent="0.25">
      <c r="A870" t="s">
        <v>936</v>
      </c>
      <c r="B870">
        <v>869</v>
      </c>
      <c r="C870" t="s">
        <v>51</v>
      </c>
      <c r="D870" t="s">
        <v>30</v>
      </c>
      <c r="E870" t="s">
        <v>40</v>
      </c>
      <c r="F870" s="2">
        <v>45791</v>
      </c>
      <c r="G870" s="2">
        <v>45793</v>
      </c>
      <c r="H870" t="s">
        <v>31</v>
      </c>
      <c r="I870" t="s">
        <v>73</v>
      </c>
      <c r="J870" s="2">
        <v>45796</v>
      </c>
      <c r="K870" s="2">
        <v>45796</v>
      </c>
      <c r="L870" t="s">
        <v>26</v>
      </c>
      <c r="M870" t="s">
        <v>27</v>
      </c>
      <c r="O870" t="s">
        <v>69</v>
      </c>
      <c r="Q870">
        <f t="shared" si="52"/>
        <v>1</v>
      </c>
      <c r="R870" s="3">
        <f t="shared" si="53"/>
        <v>5</v>
      </c>
      <c r="S870">
        <f t="shared" si="54"/>
        <v>0</v>
      </c>
      <c r="T870">
        <f t="shared" si="55"/>
        <v>0</v>
      </c>
    </row>
    <row r="871" spans="1:20" x14ac:dyDescent="0.25">
      <c r="A871" t="s">
        <v>937</v>
      </c>
      <c r="B871">
        <v>870</v>
      </c>
      <c r="C871" t="s">
        <v>51</v>
      </c>
      <c r="D871" t="s">
        <v>64</v>
      </c>
      <c r="E871" t="s">
        <v>56</v>
      </c>
      <c r="F871" s="2">
        <v>45850</v>
      </c>
      <c r="G871" s="2">
        <v>45852</v>
      </c>
      <c r="H871" t="s">
        <v>41</v>
      </c>
      <c r="I871" t="s">
        <v>42</v>
      </c>
      <c r="J871" s="2">
        <v>45856</v>
      </c>
      <c r="K871" s="2">
        <v>45860</v>
      </c>
      <c r="L871" t="s">
        <v>26</v>
      </c>
      <c r="M871" t="s">
        <v>32</v>
      </c>
      <c r="N871" t="s">
        <v>33</v>
      </c>
      <c r="O871" t="s">
        <v>37</v>
      </c>
      <c r="Q871">
        <f t="shared" si="52"/>
        <v>0</v>
      </c>
      <c r="R871" s="3">
        <f t="shared" si="53"/>
        <v>6</v>
      </c>
      <c r="S871">
        <f t="shared" si="54"/>
        <v>1</v>
      </c>
      <c r="T871">
        <f t="shared" si="55"/>
        <v>0</v>
      </c>
    </row>
    <row r="872" spans="1:20" x14ac:dyDescent="0.25">
      <c r="A872" t="s">
        <v>938</v>
      </c>
      <c r="B872">
        <v>871</v>
      </c>
      <c r="C872" t="s">
        <v>51</v>
      </c>
      <c r="D872" t="s">
        <v>30</v>
      </c>
      <c r="E872" t="s">
        <v>40</v>
      </c>
      <c r="F872" s="2">
        <v>45692</v>
      </c>
      <c r="G872" s="2">
        <v>45692</v>
      </c>
      <c r="H872" t="s">
        <v>31</v>
      </c>
      <c r="I872" t="s">
        <v>62</v>
      </c>
      <c r="J872" s="2">
        <v>45696</v>
      </c>
      <c r="K872" s="2">
        <v>45696</v>
      </c>
      <c r="L872" t="s">
        <v>26</v>
      </c>
      <c r="M872" t="s">
        <v>27</v>
      </c>
      <c r="O872" t="s">
        <v>43</v>
      </c>
      <c r="Q872">
        <f t="shared" si="52"/>
        <v>1</v>
      </c>
      <c r="R872" s="3">
        <f t="shared" si="53"/>
        <v>4</v>
      </c>
      <c r="S872">
        <f t="shared" si="54"/>
        <v>0</v>
      </c>
      <c r="T872">
        <f t="shared" si="55"/>
        <v>0</v>
      </c>
    </row>
    <row r="873" spans="1:20" x14ac:dyDescent="0.25">
      <c r="A873" t="s">
        <v>939</v>
      </c>
      <c r="B873">
        <v>872</v>
      </c>
      <c r="C873" t="s">
        <v>78</v>
      </c>
      <c r="D873" t="s">
        <v>22</v>
      </c>
      <c r="E873" t="s">
        <v>40</v>
      </c>
      <c r="F873" s="2">
        <v>45888</v>
      </c>
      <c r="G873" s="2">
        <v>45889</v>
      </c>
      <c r="H873" t="s">
        <v>45</v>
      </c>
      <c r="I873" t="s">
        <v>62</v>
      </c>
      <c r="J873" s="2">
        <v>45893</v>
      </c>
      <c r="K873" s="2">
        <v>45895</v>
      </c>
      <c r="L873" t="s">
        <v>26</v>
      </c>
      <c r="M873" t="s">
        <v>32</v>
      </c>
      <c r="N873" t="s">
        <v>47</v>
      </c>
      <c r="O873" t="s">
        <v>34</v>
      </c>
      <c r="Q873">
        <f t="shared" si="52"/>
        <v>0</v>
      </c>
      <c r="R873" s="3">
        <f t="shared" si="53"/>
        <v>5</v>
      </c>
      <c r="S873">
        <f t="shared" si="54"/>
        <v>1</v>
      </c>
      <c r="T873">
        <f t="shared" si="55"/>
        <v>0</v>
      </c>
    </row>
    <row r="874" spans="1:20" x14ac:dyDescent="0.25">
      <c r="A874" t="s">
        <v>940</v>
      </c>
      <c r="B874">
        <v>873</v>
      </c>
      <c r="C874" t="s">
        <v>36</v>
      </c>
      <c r="D874" t="s">
        <v>39</v>
      </c>
      <c r="E874" t="s">
        <v>23</v>
      </c>
      <c r="F874" s="2">
        <v>46010</v>
      </c>
      <c r="G874" s="2">
        <v>46011</v>
      </c>
      <c r="H874" t="s">
        <v>61</v>
      </c>
      <c r="I874" t="s">
        <v>42</v>
      </c>
      <c r="J874" s="2">
        <v>46012</v>
      </c>
      <c r="K874" s="2">
        <v>46014</v>
      </c>
      <c r="L874" t="s">
        <v>26</v>
      </c>
      <c r="M874" t="s">
        <v>32</v>
      </c>
      <c r="N874" t="s">
        <v>264</v>
      </c>
      <c r="O874" t="s">
        <v>43</v>
      </c>
      <c r="Q874">
        <f t="shared" si="52"/>
        <v>0</v>
      </c>
      <c r="R874" s="3">
        <f t="shared" si="53"/>
        <v>2</v>
      </c>
      <c r="S874">
        <f t="shared" si="54"/>
        <v>1</v>
      </c>
      <c r="T874">
        <f t="shared" si="55"/>
        <v>0</v>
      </c>
    </row>
    <row r="875" spans="1:20" x14ac:dyDescent="0.25">
      <c r="A875" t="s">
        <v>941</v>
      </c>
      <c r="B875">
        <v>874</v>
      </c>
      <c r="C875" t="s">
        <v>59</v>
      </c>
      <c r="D875" t="s">
        <v>52</v>
      </c>
      <c r="E875" t="s">
        <v>40</v>
      </c>
      <c r="F875" s="2">
        <v>45873</v>
      </c>
      <c r="G875" s="2">
        <v>45875</v>
      </c>
      <c r="H875" t="s">
        <v>31</v>
      </c>
      <c r="I875" t="s">
        <v>42</v>
      </c>
      <c r="J875" s="2">
        <v>45876</v>
      </c>
      <c r="K875" s="2">
        <v>45879</v>
      </c>
      <c r="L875" t="s">
        <v>26</v>
      </c>
      <c r="M875" t="s">
        <v>32</v>
      </c>
      <c r="N875" t="s">
        <v>67</v>
      </c>
      <c r="O875" t="s">
        <v>43</v>
      </c>
      <c r="Q875">
        <f t="shared" si="52"/>
        <v>0</v>
      </c>
      <c r="R875" s="3">
        <f t="shared" si="53"/>
        <v>3</v>
      </c>
      <c r="S875">
        <f t="shared" si="54"/>
        <v>1</v>
      </c>
      <c r="T875">
        <f t="shared" si="55"/>
        <v>0</v>
      </c>
    </row>
    <row r="876" spans="1:20" x14ac:dyDescent="0.25">
      <c r="A876" t="s">
        <v>942</v>
      </c>
      <c r="B876">
        <v>875</v>
      </c>
      <c r="C876" t="s">
        <v>78</v>
      </c>
      <c r="D876" t="s">
        <v>64</v>
      </c>
      <c r="E876" t="s">
        <v>40</v>
      </c>
      <c r="F876" s="2">
        <v>45761</v>
      </c>
      <c r="G876" s="2">
        <v>45761</v>
      </c>
      <c r="H876" t="s">
        <v>31</v>
      </c>
      <c r="I876" t="s">
        <v>73</v>
      </c>
      <c r="J876" s="2">
        <v>45767</v>
      </c>
      <c r="K876" s="2">
        <v>45770</v>
      </c>
      <c r="L876" t="s">
        <v>26</v>
      </c>
      <c r="M876" t="s">
        <v>32</v>
      </c>
      <c r="N876" t="s">
        <v>49</v>
      </c>
      <c r="O876" t="s">
        <v>43</v>
      </c>
      <c r="Q876">
        <f t="shared" si="52"/>
        <v>0</v>
      </c>
      <c r="R876" s="3">
        <f t="shared" si="53"/>
        <v>6</v>
      </c>
      <c r="S876">
        <f t="shared" si="54"/>
        <v>1</v>
      </c>
      <c r="T876">
        <f t="shared" si="55"/>
        <v>0</v>
      </c>
    </row>
    <row r="877" spans="1:20" x14ac:dyDescent="0.25">
      <c r="A877" t="s">
        <v>943</v>
      </c>
      <c r="B877">
        <v>876</v>
      </c>
      <c r="C877" t="s">
        <v>78</v>
      </c>
      <c r="D877" t="s">
        <v>64</v>
      </c>
      <c r="E877" t="s">
        <v>56</v>
      </c>
      <c r="F877" s="2">
        <v>45792</v>
      </c>
      <c r="G877" s="2">
        <v>45794</v>
      </c>
      <c r="H877" t="s">
        <v>61</v>
      </c>
      <c r="I877" t="s">
        <v>54</v>
      </c>
      <c r="J877" s="2">
        <v>45800</v>
      </c>
      <c r="K877" s="2">
        <v>45800</v>
      </c>
      <c r="L877" t="s">
        <v>26</v>
      </c>
      <c r="M877" t="s">
        <v>27</v>
      </c>
      <c r="O877" t="s">
        <v>81</v>
      </c>
      <c r="Q877">
        <f t="shared" si="52"/>
        <v>1</v>
      </c>
      <c r="R877" s="3">
        <f t="shared" si="53"/>
        <v>8</v>
      </c>
      <c r="S877">
        <f t="shared" si="54"/>
        <v>0</v>
      </c>
      <c r="T877">
        <f t="shared" si="55"/>
        <v>0</v>
      </c>
    </row>
    <row r="878" spans="1:20" x14ac:dyDescent="0.25">
      <c r="A878" t="s">
        <v>944</v>
      </c>
      <c r="B878">
        <v>877</v>
      </c>
      <c r="C878" t="s">
        <v>21</v>
      </c>
      <c r="D878" t="s">
        <v>30</v>
      </c>
      <c r="E878" t="s">
        <v>56</v>
      </c>
      <c r="F878" s="2">
        <v>45913</v>
      </c>
      <c r="G878" s="2">
        <v>45914</v>
      </c>
      <c r="H878" t="s">
        <v>31</v>
      </c>
      <c r="I878" t="s">
        <v>54</v>
      </c>
      <c r="J878" s="2">
        <v>45915</v>
      </c>
      <c r="K878" s="2">
        <v>45915</v>
      </c>
      <c r="L878" t="s">
        <v>26</v>
      </c>
      <c r="M878" t="s">
        <v>27</v>
      </c>
      <c r="O878" t="s">
        <v>81</v>
      </c>
      <c r="P878" t="s">
        <v>93</v>
      </c>
      <c r="Q878">
        <f t="shared" si="52"/>
        <v>1</v>
      </c>
      <c r="R878" s="3">
        <f t="shared" si="53"/>
        <v>2</v>
      </c>
      <c r="S878">
        <f t="shared" si="54"/>
        <v>0</v>
      </c>
      <c r="T878">
        <f t="shared" si="55"/>
        <v>0</v>
      </c>
    </row>
    <row r="879" spans="1:20" x14ac:dyDescent="0.25">
      <c r="A879" t="s">
        <v>945</v>
      </c>
      <c r="B879">
        <v>878</v>
      </c>
      <c r="C879" t="s">
        <v>36</v>
      </c>
      <c r="D879" t="s">
        <v>52</v>
      </c>
      <c r="E879" t="s">
        <v>60</v>
      </c>
      <c r="F879" s="2">
        <v>45988</v>
      </c>
      <c r="G879" s="2">
        <v>45988</v>
      </c>
      <c r="H879" t="s">
        <v>31</v>
      </c>
      <c r="I879" t="s">
        <v>42</v>
      </c>
      <c r="J879" s="2">
        <v>45989</v>
      </c>
      <c r="K879" s="2">
        <v>45989</v>
      </c>
      <c r="L879" t="s">
        <v>46</v>
      </c>
      <c r="M879" t="s">
        <v>57</v>
      </c>
      <c r="O879" t="s">
        <v>81</v>
      </c>
      <c r="Q879">
        <f t="shared" si="52"/>
        <v>1</v>
      </c>
      <c r="R879" s="3">
        <f t="shared" si="53"/>
        <v>1</v>
      </c>
      <c r="S879">
        <f t="shared" si="54"/>
        <v>0</v>
      </c>
      <c r="T879">
        <f t="shared" si="55"/>
        <v>1</v>
      </c>
    </row>
    <row r="880" spans="1:20" x14ac:dyDescent="0.25">
      <c r="A880" t="s">
        <v>946</v>
      </c>
      <c r="B880">
        <v>879</v>
      </c>
      <c r="C880" t="s">
        <v>36</v>
      </c>
      <c r="D880" t="s">
        <v>39</v>
      </c>
      <c r="E880" t="s">
        <v>23</v>
      </c>
      <c r="F880" s="2">
        <v>45841</v>
      </c>
      <c r="G880" s="2">
        <v>45843</v>
      </c>
      <c r="H880" t="s">
        <v>24</v>
      </c>
      <c r="I880" t="s">
        <v>85</v>
      </c>
      <c r="J880" s="2">
        <v>45845</v>
      </c>
      <c r="K880" s="2">
        <v>45845</v>
      </c>
      <c r="L880" t="s">
        <v>26</v>
      </c>
      <c r="M880" t="s">
        <v>27</v>
      </c>
      <c r="O880" t="s">
        <v>69</v>
      </c>
      <c r="P880" t="s">
        <v>88</v>
      </c>
      <c r="Q880">
        <f t="shared" si="52"/>
        <v>1</v>
      </c>
      <c r="R880" s="3">
        <f t="shared" si="53"/>
        <v>4</v>
      </c>
      <c r="S880">
        <f t="shared" si="54"/>
        <v>0</v>
      </c>
      <c r="T880">
        <f t="shared" si="55"/>
        <v>0</v>
      </c>
    </row>
    <row r="881" spans="1:20" x14ac:dyDescent="0.25">
      <c r="A881" t="s">
        <v>947</v>
      </c>
      <c r="B881">
        <v>880</v>
      </c>
      <c r="C881" t="s">
        <v>36</v>
      </c>
      <c r="D881" t="s">
        <v>39</v>
      </c>
      <c r="E881" t="s">
        <v>53</v>
      </c>
      <c r="F881" s="2">
        <v>45847</v>
      </c>
      <c r="G881" s="2">
        <v>45847</v>
      </c>
      <c r="H881" t="s">
        <v>24</v>
      </c>
      <c r="I881" t="s">
        <v>62</v>
      </c>
      <c r="J881" s="2">
        <v>45850</v>
      </c>
      <c r="K881" s="2">
        <v>45850</v>
      </c>
      <c r="L881" t="s">
        <v>26</v>
      </c>
      <c r="M881" t="s">
        <v>57</v>
      </c>
      <c r="O881" t="s">
        <v>69</v>
      </c>
      <c r="P881" t="s">
        <v>71</v>
      </c>
      <c r="Q881">
        <f t="shared" si="52"/>
        <v>1</v>
      </c>
      <c r="R881" s="3">
        <f t="shared" si="53"/>
        <v>3</v>
      </c>
      <c r="S881">
        <f t="shared" si="54"/>
        <v>0</v>
      </c>
      <c r="T881">
        <f t="shared" si="55"/>
        <v>0</v>
      </c>
    </row>
    <row r="882" spans="1:20" x14ac:dyDescent="0.25">
      <c r="A882" t="s">
        <v>948</v>
      </c>
      <c r="B882">
        <v>881</v>
      </c>
      <c r="C882" t="s">
        <v>36</v>
      </c>
      <c r="D882" t="s">
        <v>39</v>
      </c>
      <c r="E882" t="s">
        <v>60</v>
      </c>
      <c r="F882" s="2">
        <v>45977</v>
      </c>
      <c r="G882" s="2">
        <v>45977</v>
      </c>
      <c r="H882" t="s">
        <v>24</v>
      </c>
      <c r="I882" t="s">
        <v>42</v>
      </c>
      <c r="J882" s="2">
        <v>45980</v>
      </c>
      <c r="K882" s="2">
        <v>45980</v>
      </c>
      <c r="L882" t="s">
        <v>26</v>
      </c>
      <c r="M882" t="s">
        <v>57</v>
      </c>
      <c r="O882" t="s">
        <v>81</v>
      </c>
      <c r="Q882">
        <f t="shared" si="52"/>
        <v>1</v>
      </c>
      <c r="R882" s="3">
        <f t="shared" si="53"/>
        <v>3</v>
      </c>
      <c r="S882">
        <f t="shared" si="54"/>
        <v>0</v>
      </c>
      <c r="T882">
        <f t="shared" si="55"/>
        <v>0</v>
      </c>
    </row>
    <row r="883" spans="1:20" x14ac:dyDescent="0.25">
      <c r="A883" t="s">
        <v>949</v>
      </c>
      <c r="B883">
        <v>882</v>
      </c>
      <c r="C883" t="s">
        <v>36</v>
      </c>
      <c r="D883" t="s">
        <v>22</v>
      </c>
      <c r="E883" t="s">
        <v>60</v>
      </c>
      <c r="F883" s="2">
        <v>45696</v>
      </c>
      <c r="G883" s="2">
        <v>45697</v>
      </c>
      <c r="H883" t="s">
        <v>31</v>
      </c>
      <c r="I883" t="s">
        <v>83</v>
      </c>
      <c r="J883" s="2">
        <v>45701</v>
      </c>
      <c r="K883" s="2">
        <v>45702</v>
      </c>
      <c r="L883" t="s">
        <v>26</v>
      </c>
      <c r="M883" t="s">
        <v>32</v>
      </c>
      <c r="N883" t="s">
        <v>47</v>
      </c>
      <c r="O883" t="s">
        <v>37</v>
      </c>
      <c r="P883" t="s">
        <v>93</v>
      </c>
      <c r="Q883">
        <f t="shared" si="52"/>
        <v>0</v>
      </c>
      <c r="R883" s="3">
        <f t="shared" si="53"/>
        <v>5</v>
      </c>
      <c r="S883">
        <f t="shared" si="54"/>
        <v>1</v>
      </c>
      <c r="T883">
        <f t="shared" si="55"/>
        <v>0</v>
      </c>
    </row>
    <row r="884" spans="1:20" x14ac:dyDescent="0.25">
      <c r="A884" t="s">
        <v>950</v>
      </c>
      <c r="B884">
        <v>883</v>
      </c>
      <c r="C884" t="s">
        <v>51</v>
      </c>
      <c r="D884" t="s">
        <v>30</v>
      </c>
      <c r="E884" t="s">
        <v>23</v>
      </c>
      <c r="F884" s="2">
        <v>46005</v>
      </c>
      <c r="G884" s="2">
        <v>46006</v>
      </c>
      <c r="H884" t="s">
        <v>31</v>
      </c>
      <c r="I884" t="s">
        <v>83</v>
      </c>
      <c r="J884" s="2">
        <v>46010</v>
      </c>
      <c r="K884" s="2">
        <v>46014</v>
      </c>
      <c r="L884" t="s">
        <v>26</v>
      </c>
      <c r="M884" t="s">
        <v>32</v>
      </c>
      <c r="N884" t="s">
        <v>49</v>
      </c>
      <c r="O884" t="s">
        <v>43</v>
      </c>
      <c r="P884" t="s">
        <v>93</v>
      </c>
      <c r="Q884">
        <f t="shared" si="52"/>
        <v>0</v>
      </c>
      <c r="R884" s="3">
        <f t="shared" si="53"/>
        <v>5</v>
      </c>
      <c r="S884">
        <f t="shared" si="54"/>
        <v>1</v>
      </c>
      <c r="T884">
        <f t="shared" si="55"/>
        <v>0</v>
      </c>
    </row>
    <row r="885" spans="1:20" x14ac:dyDescent="0.25">
      <c r="A885" t="s">
        <v>951</v>
      </c>
      <c r="B885">
        <v>884</v>
      </c>
      <c r="C885" t="s">
        <v>36</v>
      </c>
      <c r="D885" t="s">
        <v>39</v>
      </c>
      <c r="E885" t="s">
        <v>40</v>
      </c>
      <c r="F885" s="2">
        <v>45852</v>
      </c>
      <c r="G885" s="2">
        <v>45852</v>
      </c>
      <c r="H885" t="s">
        <v>41</v>
      </c>
      <c r="I885" t="s">
        <v>73</v>
      </c>
      <c r="J885" s="2">
        <v>45856</v>
      </c>
      <c r="K885" s="2">
        <v>45856</v>
      </c>
      <c r="L885" t="s">
        <v>46</v>
      </c>
      <c r="M885" t="s">
        <v>27</v>
      </c>
      <c r="O885" t="s">
        <v>43</v>
      </c>
      <c r="Q885">
        <f t="shared" si="52"/>
        <v>1</v>
      </c>
      <c r="R885" s="3">
        <f t="shared" si="53"/>
        <v>4</v>
      </c>
      <c r="S885">
        <f t="shared" si="54"/>
        <v>0</v>
      </c>
      <c r="T885">
        <f t="shared" si="55"/>
        <v>1</v>
      </c>
    </row>
    <row r="886" spans="1:20" x14ac:dyDescent="0.25">
      <c r="A886" t="s">
        <v>952</v>
      </c>
      <c r="B886">
        <v>885</v>
      </c>
      <c r="C886" t="s">
        <v>59</v>
      </c>
      <c r="D886" t="s">
        <v>22</v>
      </c>
      <c r="E886" t="s">
        <v>56</v>
      </c>
      <c r="F886" s="2">
        <v>45779</v>
      </c>
      <c r="G886" s="2">
        <v>45780</v>
      </c>
      <c r="H886" t="s">
        <v>61</v>
      </c>
      <c r="I886" t="s">
        <v>54</v>
      </c>
      <c r="J886" s="2">
        <v>45781</v>
      </c>
      <c r="K886" s="2">
        <v>45781</v>
      </c>
      <c r="L886" t="s">
        <v>26</v>
      </c>
      <c r="M886" t="s">
        <v>27</v>
      </c>
      <c r="O886" t="s">
        <v>81</v>
      </c>
      <c r="Q886">
        <f t="shared" si="52"/>
        <v>1</v>
      </c>
      <c r="R886" s="3">
        <f t="shared" si="53"/>
        <v>2</v>
      </c>
      <c r="S886">
        <f t="shared" si="54"/>
        <v>0</v>
      </c>
      <c r="T886">
        <f t="shared" si="55"/>
        <v>0</v>
      </c>
    </row>
    <row r="887" spans="1:20" x14ac:dyDescent="0.25">
      <c r="A887" t="s">
        <v>953</v>
      </c>
      <c r="B887">
        <v>886</v>
      </c>
      <c r="C887" t="s">
        <v>78</v>
      </c>
      <c r="D887" t="s">
        <v>30</v>
      </c>
      <c r="E887" t="s">
        <v>23</v>
      </c>
      <c r="F887" s="2">
        <v>45974</v>
      </c>
      <c r="G887" s="2">
        <v>45975</v>
      </c>
      <c r="H887" t="s">
        <v>45</v>
      </c>
      <c r="I887" t="s">
        <v>54</v>
      </c>
      <c r="J887" s="2">
        <v>45980</v>
      </c>
      <c r="K887" s="2">
        <v>45980</v>
      </c>
      <c r="L887" t="s">
        <v>46</v>
      </c>
      <c r="M887" t="s">
        <v>57</v>
      </c>
      <c r="O887" t="s">
        <v>34</v>
      </c>
      <c r="P887" t="s">
        <v>93</v>
      </c>
      <c r="Q887">
        <f t="shared" si="52"/>
        <v>1</v>
      </c>
      <c r="R887" s="3">
        <f t="shared" si="53"/>
        <v>6</v>
      </c>
      <c r="S887">
        <f t="shared" si="54"/>
        <v>0</v>
      </c>
      <c r="T887">
        <f t="shared" si="55"/>
        <v>1</v>
      </c>
    </row>
    <row r="888" spans="1:20" x14ac:dyDescent="0.25">
      <c r="A888" t="s">
        <v>954</v>
      </c>
      <c r="B888">
        <v>887</v>
      </c>
      <c r="C888" t="s">
        <v>78</v>
      </c>
      <c r="D888" t="s">
        <v>52</v>
      </c>
      <c r="E888" t="s">
        <v>60</v>
      </c>
      <c r="F888" s="2">
        <v>45767</v>
      </c>
      <c r="G888" s="2">
        <v>45767</v>
      </c>
      <c r="H888" t="s">
        <v>41</v>
      </c>
      <c r="I888" t="s">
        <v>85</v>
      </c>
      <c r="J888" s="2">
        <v>45770</v>
      </c>
      <c r="K888" s="2">
        <v>45770</v>
      </c>
      <c r="L888" t="s">
        <v>26</v>
      </c>
      <c r="M888" t="s">
        <v>57</v>
      </c>
      <c r="O888" t="s">
        <v>37</v>
      </c>
      <c r="Q888">
        <f t="shared" si="52"/>
        <v>1</v>
      </c>
      <c r="R888" s="3">
        <f t="shared" si="53"/>
        <v>3</v>
      </c>
      <c r="S888">
        <f t="shared" si="54"/>
        <v>0</v>
      </c>
      <c r="T888">
        <f t="shared" si="55"/>
        <v>0</v>
      </c>
    </row>
    <row r="889" spans="1:20" x14ac:dyDescent="0.25">
      <c r="A889" t="s">
        <v>955</v>
      </c>
      <c r="B889">
        <v>888</v>
      </c>
      <c r="C889" t="s">
        <v>36</v>
      </c>
      <c r="D889" t="s">
        <v>52</v>
      </c>
      <c r="E889" t="s">
        <v>56</v>
      </c>
      <c r="F889" s="2">
        <v>45737</v>
      </c>
      <c r="G889" s="2">
        <v>45739</v>
      </c>
      <c r="H889" t="s">
        <v>24</v>
      </c>
      <c r="I889" t="s">
        <v>85</v>
      </c>
      <c r="J889" s="2">
        <v>45740</v>
      </c>
      <c r="K889" s="2">
        <v>45740</v>
      </c>
      <c r="L889" t="s">
        <v>26</v>
      </c>
      <c r="M889" t="s">
        <v>27</v>
      </c>
      <c r="O889" t="s">
        <v>43</v>
      </c>
      <c r="Q889">
        <f t="shared" si="52"/>
        <v>1</v>
      </c>
      <c r="R889" s="3">
        <f t="shared" si="53"/>
        <v>3</v>
      </c>
      <c r="S889">
        <f t="shared" si="54"/>
        <v>0</v>
      </c>
      <c r="T889">
        <f t="shared" si="55"/>
        <v>0</v>
      </c>
    </row>
    <row r="890" spans="1:20" x14ac:dyDescent="0.25">
      <c r="A890" t="s">
        <v>956</v>
      </c>
      <c r="B890">
        <v>889</v>
      </c>
      <c r="C890" t="s">
        <v>21</v>
      </c>
      <c r="D890" t="s">
        <v>39</v>
      </c>
      <c r="E890" t="s">
        <v>60</v>
      </c>
      <c r="F890" s="2">
        <v>45764</v>
      </c>
      <c r="G890" s="2">
        <v>45764</v>
      </c>
      <c r="H890" t="s">
        <v>31</v>
      </c>
      <c r="I890" t="s">
        <v>42</v>
      </c>
      <c r="J890" s="2">
        <v>45769</v>
      </c>
      <c r="K890" s="2">
        <v>45769</v>
      </c>
      <c r="L890" t="s">
        <v>26</v>
      </c>
      <c r="M890" t="s">
        <v>57</v>
      </c>
      <c r="O890" t="s">
        <v>37</v>
      </c>
      <c r="Q890">
        <f t="shared" si="52"/>
        <v>1</v>
      </c>
      <c r="R890" s="3">
        <f t="shared" si="53"/>
        <v>5</v>
      </c>
      <c r="S890">
        <f t="shared" si="54"/>
        <v>0</v>
      </c>
      <c r="T890">
        <f t="shared" si="55"/>
        <v>0</v>
      </c>
    </row>
    <row r="891" spans="1:20" x14ac:dyDescent="0.25">
      <c r="A891" t="s">
        <v>957</v>
      </c>
      <c r="B891">
        <v>890</v>
      </c>
      <c r="C891" t="s">
        <v>51</v>
      </c>
      <c r="D891" t="s">
        <v>64</v>
      </c>
      <c r="E891" t="s">
        <v>56</v>
      </c>
      <c r="F891" s="2">
        <v>45905</v>
      </c>
      <c r="G891" s="2">
        <v>45907</v>
      </c>
      <c r="H891" t="s">
        <v>24</v>
      </c>
      <c r="I891" t="s">
        <v>85</v>
      </c>
      <c r="J891" s="2">
        <v>45910</v>
      </c>
      <c r="K891" s="2">
        <v>45910</v>
      </c>
      <c r="L891" t="s">
        <v>26</v>
      </c>
      <c r="M891" t="s">
        <v>27</v>
      </c>
      <c r="O891" t="s">
        <v>81</v>
      </c>
      <c r="Q891">
        <f t="shared" si="52"/>
        <v>1</v>
      </c>
      <c r="R891" s="3">
        <f t="shared" si="53"/>
        <v>5</v>
      </c>
      <c r="S891">
        <f t="shared" si="54"/>
        <v>0</v>
      </c>
      <c r="T891">
        <f t="shared" si="55"/>
        <v>0</v>
      </c>
    </row>
    <row r="892" spans="1:20" x14ac:dyDescent="0.25">
      <c r="A892" t="s">
        <v>958</v>
      </c>
      <c r="B892">
        <v>891</v>
      </c>
      <c r="C892" t="s">
        <v>51</v>
      </c>
      <c r="D892" t="s">
        <v>39</v>
      </c>
      <c r="E892" t="s">
        <v>56</v>
      </c>
      <c r="F892" s="2">
        <v>45695</v>
      </c>
      <c r="G892" s="2">
        <v>45695</v>
      </c>
      <c r="H892" t="s">
        <v>45</v>
      </c>
      <c r="I892" t="s">
        <v>62</v>
      </c>
      <c r="J892" s="2">
        <v>45697</v>
      </c>
      <c r="K892" s="2">
        <v>45697</v>
      </c>
      <c r="L892" t="s">
        <v>26</v>
      </c>
      <c r="M892" t="s">
        <v>27</v>
      </c>
      <c r="O892" t="s">
        <v>34</v>
      </c>
      <c r="Q892">
        <f t="shared" si="52"/>
        <v>1</v>
      </c>
      <c r="R892" s="3">
        <f t="shared" si="53"/>
        <v>2</v>
      </c>
      <c r="S892">
        <f t="shared" si="54"/>
        <v>0</v>
      </c>
      <c r="T892">
        <f t="shared" si="55"/>
        <v>0</v>
      </c>
    </row>
    <row r="893" spans="1:20" x14ac:dyDescent="0.25">
      <c r="A893" t="s">
        <v>959</v>
      </c>
      <c r="B893">
        <v>892</v>
      </c>
      <c r="C893" t="s">
        <v>59</v>
      </c>
      <c r="D893" t="s">
        <v>39</v>
      </c>
      <c r="E893" t="s">
        <v>53</v>
      </c>
      <c r="F893" s="2">
        <v>45850</v>
      </c>
      <c r="G893" s="2">
        <v>45850</v>
      </c>
      <c r="H893" t="s">
        <v>45</v>
      </c>
      <c r="I893" t="s">
        <v>42</v>
      </c>
      <c r="J893" s="2">
        <v>45854</v>
      </c>
      <c r="K893" s="2">
        <v>45854</v>
      </c>
      <c r="L893" t="s">
        <v>26</v>
      </c>
      <c r="M893" t="s">
        <v>57</v>
      </c>
      <c r="O893" t="s">
        <v>34</v>
      </c>
      <c r="Q893">
        <f t="shared" si="52"/>
        <v>1</v>
      </c>
      <c r="R893" s="3">
        <f t="shared" si="53"/>
        <v>4</v>
      </c>
      <c r="S893">
        <f t="shared" si="54"/>
        <v>0</v>
      </c>
      <c r="T893">
        <f t="shared" si="55"/>
        <v>0</v>
      </c>
    </row>
    <row r="894" spans="1:20" x14ac:dyDescent="0.25">
      <c r="A894" t="s">
        <v>960</v>
      </c>
      <c r="B894">
        <v>893</v>
      </c>
      <c r="C894" t="s">
        <v>21</v>
      </c>
      <c r="D894" t="s">
        <v>22</v>
      </c>
      <c r="E894" t="s">
        <v>60</v>
      </c>
      <c r="F894" s="2">
        <v>45764</v>
      </c>
      <c r="G894" s="2">
        <v>45764</v>
      </c>
      <c r="H894" t="s">
        <v>41</v>
      </c>
      <c r="I894" t="s">
        <v>42</v>
      </c>
      <c r="J894" s="2">
        <v>45766</v>
      </c>
      <c r="K894" s="2">
        <v>45768</v>
      </c>
      <c r="L894" t="s">
        <v>26</v>
      </c>
      <c r="M894" t="s">
        <v>32</v>
      </c>
      <c r="N894" t="s">
        <v>47</v>
      </c>
      <c r="O894" t="s">
        <v>34</v>
      </c>
      <c r="Q894">
        <f t="shared" si="52"/>
        <v>0</v>
      </c>
      <c r="R894" s="3">
        <f t="shared" si="53"/>
        <v>2</v>
      </c>
      <c r="S894">
        <f t="shared" si="54"/>
        <v>1</v>
      </c>
      <c r="T894">
        <f t="shared" si="55"/>
        <v>0</v>
      </c>
    </row>
    <row r="895" spans="1:20" x14ac:dyDescent="0.25">
      <c r="A895" t="s">
        <v>961</v>
      </c>
      <c r="B895">
        <v>894</v>
      </c>
      <c r="C895" t="s">
        <v>59</v>
      </c>
      <c r="D895" t="s">
        <v>52</v>
      </c>
      <c r="E895" t="s">
        <v>60</v>
      </c>
      <c r="F895" s="2">
        <v>45894</v>
      </c>
      <c r="G895" s="2">
        <v>45895</v>
      </c>
      <c r="H895" t="s">
        <v>24</v>
      </c>
      <c r="I895" t="s">
        <v>83</v>
      </c>
      <c r="J895" s="2">
        <v>45900</v>
      </c>
      <c r="K895" s="2">
        <v>45900</v>
      </c>
      <c r="L895" t="s">
        <v>26</v>
      </c>
      <c r="M895" t="s">
        <v>57</v>
      </c>
      <c r="O895" t="s">
        <v>81</v>
      </c>
      <c r="Q895">
        <f t="shared" si="52"/>
        <v>1</v>
      </c>
      <c r="R895" s="3">
        <f t="shared" si="53"/>
        <v>6</v>
      </c>
      <c r="S895">
        <f t="shared" si="54"/>
        <v>0</v>
      </c>
      <c r="T895">
        <f t="shared" si="55"/>
        <v>0</v>
      </c>
    </row>
    <row r="896" spans="1:20" x14ac:dyDescent="0.25">
      <c r="A896" t="s">
        <v>962</v>
      </c>
      <c r="B896">
        <v>895</v>
      </c>
      <c r="C896" t="s">
        <v>59</v>
      </c>
      <c r="D896" t="s">
        <v>52</v>
      </c>
      <c r="E896" t="s">
        <v>60</v>
      </c>
      <c r="F896" s="2">
        <v>45736</v>
      </c>
      <c r="G896" s="2">
        <v>45737</v>
      </c>
      <c r="H896" t="s">
        <v>61</v>
      </c>
      <c r="I896" t="s">
        <v>62</v>
      </c>
      <c r="J896" s="2">
        <v>45738</v>
      </c>
      <c r="K896" s="2">
        <v>45742</v>
      </c>
      <c r="L896" t="s">
        <v>26</v>
      </c>
      <c r="M896" t="s">
        <v>32</v>
      </c>
      <c r="N896" t="s">
        <v>49</v>
      </c>
      <c r="O896" t="s">
        <v>81</v>
      </c>
      <c r="P896" t="s">
        <v>88</v>
      </c>
      <c r="Q896">
        <f t="shared" si="52"/>
        <v>0</v>
      </c>
      <c r="R896" s="3">
        <f t="shared" si="53"/>
        <v>2</v>
      </c>
      <c r="S896">
        <f t="shared" si="54"/>
        <v>1</v>
      </c>
      <c r="T896">
        <f t="shared" si="55"/>
        <v>0</v>
      </c>
    </row>
    <row r="897" spans="1:20" x14ac:dyDescent="0.25">
      <c r="A897" t="s">
        <v>963</v>
      </c>
      <c r="B897">
        <v>896</v>
      </c>
      <c r="C897" t="s">
        <v>51</v>
      </c>
      <c r="D897" t="s">
        <v>39</v>
      </c>
      <c r="E897" t="s">
        <v>40</v>
      </c>
      <c r="F897" s="2">
        <v>45969</v>
      </c>
      <c r="G897" s="2">
        <v>45971</v>
      </c>
      <c r="H897" t="s">
        <v>31</v>
      </c>
      <c r="I897" t="s">
        <v>62</v>
      </c>
      <c r="J897" s="2">
        <v>45972</v>
      </c>
      <c r="K897" s="2">
        <v>45972</v>
      </c>
      <c r="L897" t="s">
        <v>26</v>
      </c>
      <c r="M897" t="s">
        <v>57</v>
      </c>
      <c r="O897" t="s">
        <v>81</v>
      </c>
      <c r="Q897">
        <f t="shared" si="52"/>
        <v>1</v>
      </c>
      <c r="R897" s="3">
        <f t="shared" si="53"/>
        <v>3</v>
      </c>
      <c r="S897">
        <f t="shared" si="54"/>
        <v>0</v>
      </c>
      <c r="T897">
        <f t="shared" si="55"/>
        <v>0</v>
      </c>
    </row>
    <row r="898" spans="1:20" x14ac:dyDescent="0.25">
      <c r="A898" t="s">
        <v>964</v>
      </c>
      <c r="B898">
        <v>897</v>
      </c>
      <c r="C898" t="s">
        <v>78</v>
      </c>
      <c r="D898" t="s">
        <v>64</v>
      </c>
      <c r="E898" t="s">
        <v>40</v>
      </c>
      <c r="F898" s="2">
        <v>46015</v>
      </c>
      <c r="G898" s="2">
        <v>46016</v>
      </c>
      <c r="H898" t="s">
        <v>24</v>
      </c>
      <c r="I898" t="s">
        <v>85</v>
      </c>
      <c r="J898" s="2">
        <v>46019</v>
      </c>
      <c r="K898" s="2">
        <v>46019</v>
      </c>
      <c r="L898" t="s">
        <v>46</v>
      </c>
      <c r="M898" t="s">
        <v>27</v>
      </c>
      <c r="O898" t="s">
        <v>81</v>
      </c>
      <c r="Q898">
        <f t="shared" si="52"/>
        <v>1</v>
      </c>
      <c r="R898" s="3">
        <f t="shared" si="53"/>
        <v>4</v>
      </c>
      <c r="S898">
        <f t="shared" si="54"/>
        <v>0</v>
      </c>
      <c r="T898">
        <f t="shared" si="55"/>
        <v>1</v>
      </c>
    </row>
    <row r="899" spans="1:20" x14ac:dyDescent="0.25">
      <c r="A899" t="s">
        <v>965</v>
      </c>
      <c r="B899">
        <v>898</v>
      </c>
      <c r="C899" t="s">
        <v>21</v>
      </c>
      <c r="D899" t="s">
        <v>30</v>
      </c>
      <c r="E899" t="s">
        <v>56</v>
      </c>
      <c r="F899" s="2">
        <v>45794</v>
      </c>
      <c r="G899" s="2">
        <v>45794</v>
      </c>
      <c r="H899" t="s">
        <v>41</v>
      </c>
      <c r="I899" t="s">
        <v>73</v>
      </c>
      <c r="J899" s="2">
        <v>45797</v>
      </c>
      <c r="K899" s="2">
        <v>45797</v>
      </c>
      <c r="L899" t="s">
        <v>26</v>
      </c>
      <c r="M899" t="s">
        <v>57</v>
      </c>
      <c r="O899" t="s">
        <v>34</v>
      </c>
      <c r="Q899">
        <f t="shared" ref="Q899:Q962" si="56">IF(K899&lt;=J899,1,0)</f>
        <v>1</v>
      </c>
      <c r="R899" s="3">
        <f t="shared" ref="R899:R962" si="57">(J899-F899)</f>
        <v>3</v>
      </c>
      <c r="S899">
        <f t="shared" ref="S899:S962" si="58">IF(M899="Delayed",1,0)</f>
        <v>0</v>
      </c>
      <c r="T899">
        <f t="shared" ref="T899:T962" si="59">IF(L899="n",1,0)</f>
        <v>0</v>
      </c>
    </row>
    <row r="900" spans="1:20" x14ac:dyDescent="0.25">
      <c r="A900" t="s">
        <v>966</v>
      </c>
      <c r="B900">
        <v>899</v>
      </c>
      <c r="C900" t="s">
        <v>59</v>
      </c>
      <c r="D900" t="s">
        <v>30</v>
      </c>
      <c r="E900" t="s">
        <v>60</v>
      </c>
      <c r="F900" s="2">
        <v>45826</v>
      </c>
      <c r="G900" s="2">
        <v>45828</v>
      </c>
      <c r="H900" t="s">
        <v>24</v>
      </c>
      <c r="I900" t="s">
        <v>73</v>
      </c>
      <c r="J900" s="2">
        <v>45832</v>
      </c>
      <c r="K900" s="2">
        <v>45833</v>
      </c>
      <c r="L900" t="s">
        <v>26</v>
      </c>
      <c r="M900" t="s">
        <v>32</v>
      </c>
      <c r="N900" t="s">
        <v>47</v>
      </c>
      <c r="O900" t="s">
        <v>69</v>
      </c>
      <c r="Q900">
        <f t="shared" si="56"/>
        <v>0</v>
      </c>
      <c r="R900" s="3">
        <f t="shared" si="57"/>
        <v>6</v>
      </c>
      <c r="S900">
        <f t="shared" si="58"/>
        <v>1</v>
      </c>
      <c r="T900">
        <f t="shared" si="59"/>
        <v>0</v>
      </c>
    </row>
    <row r="901" spans="1:20" x14ac:dyDescent="0.25">
      <c r="A901" t="s">
        <v>967</v>
      </c>
      <c r="B901">
        <v>900</v>
      </c>
      <c r="C901" t="s">
        <v>36</v>
      </c>
      <c r="D901" t="s">
        <v>64</v>
      </c>
      <c r="E901" t="s">
        <v>56</v>
      </c>
      <c r="F901" s="2">
        <v>45912</v>
      </c>
      <c r="G901" s="2">
        <v>45912</v>
      </c>
      <c r="H901" t="s">
        <v>41</v>
      </c>
      <c r="I901" t="s">
        <v>42</v>
      </c>
      <c r="J901" s="2">
        <v>45916</v>
      </c>
      <c r="K901" s="2">
        <v>45916</v>
      </c>
      <c r="L901" t="s">
        <v>26</v>
      </c>
      <c r="M901" t="s">
        <v>57</v>
      </c>
      <c r="O901" t="s">
        <v>43</v>
      </c>
      <c r="P901" t="s">
        <v>88</v>
      </c>
      <c r="Q901">
        <f t="shared" si="56"/>
        <v>1</v>
      </c>
      <c r="R901" s="3">
        <f t="shared" si="57"/>
        <v>4</v>
      </c>
      <c r="S901">
        <f t="shared" si="58"/>
        <v>0</v>
      </c>
      <c r="T901">
        <f t="shared" si="59"/>
        <v>0</v>
      </c>
    </row>
    <row r="902" spans="1:20" x14ac:dyDescent="0.25">
      <c r="A902" t="s">
        <v>968</v>
      </c>
      <c r="B902">
        <v>901</v>
      </c>
      <c r="C902" t="s">
        <v>36</v>
      </c>
      <c r="D902" t="s">
        <v>39</v>
      </c>
      <c r="E902" t="s">
        <v>53</v>
      </c>
      <c r="F902" s="2">
        <v>45939</v>
      </c>
      <c r="G902" s="2">
        <v>45941</v>
      </c>
      <c r="H902" t="s">
        <v>24</v>
      </c>
      <c r="I902" t="s">
        <v>83</v>
      </c>
      <c r="J902" s="2">
        <v>45945</v>
      </c>
      <c r="K902" s="2">
        <v>45945</v>
      </c>
      <c r="L902" t="s">
        <v>46</v>
      </c>
      <c r="M902" t="s">
        <v>57</v>
      </c>
      <c r="O902" t="s">
        <v>81</v>
      </c>
      <c r="Q902">
        <f t="shared" si="56"/>
        <v>1</v>
      </c>
      <c r="R902" s="3">
        <f t="shared" si="57"/>
        <v>6</v>
      </c>
      <c r="S902">
        <f t="shared" si="58"/>
        <v>0</v>
      </c>
      <c r="T902">
        <f t="shared" si="59"/>
        <v>1</v>
      </c>
    </row>
    <row r="903" spans="1:20" x14ac:dyDescent="0.25">
      <c r="A903" t="s">
        <v>969</v>
      </c>
      <c r="B903">
        <v>902</v>
      </c>
      <c r="C903" t="s">
        <v>51</v>
      </c>
      <c r="D903" t="s">
        <v>30</v>
      </c>
      <c r="E903" t="s">
        <v>40</v>
      </c>
      <c r="F903" s="2">
        <v>45676</v>
      </c>
      <c r="G903" s="2">
        <v>45676</v>
      </c>
      <c r="H903" t="s">
        <v>31</v>
      </c>
      <c r="I903" t="s">
        <v>62</v>
      </c>
      <c r="J903" s="2">
        <v>45677</v>
      </c>
      <c r="K903" s="2">
        <v>45677</v>
      </c>
      <c r="L903" t="s">
        <v>26</v>
      </c>
      <c r="M903" t="s">
        <v>57</v>
      </c>
      <c r="O903" t="s">
        <v>37</v>
      </c>
      <c r="P903" t="s">
        <v>76</v>
      </c>
      <c r="Q903">
        <f t="shared" si="56"/>
        <v>1</v>
      </c>
      <c r="R903" s="3">
        <f t="shared" si="57"/>
        <v>1</v>
      </c>
      <c r="S903">
        <f t="shared" si="58"/>
        <v>0</v>
      </c>
      <c r="T903">
        <f t="shared" si="59"/>
        <v>0</v>
      </c>
    </row>
    <row r="904" spans="1:20" x14ac:dyDescent="0.25">
      <c r="A904" t="s">
        <v>970</v>
      </c>
      <c r="B904">
        <v>903</v>
      </c>
      <c r="C904" t="s">
        <v>21</v>
      </c>
      <c r="D904" t="s">
        <v>52</v>
      </c>
      <c r="E904" t="s">
        <v>23</v>
      </c>
      <c r="F904" s="2">
        <v>45909</v>
      </c>
      <c r="G904" s="2">
        <v>45911</v>
      </c>
      <c r="H904" t="s">
        <v>61</v>
      </c>
      <c r="I904" t="s">
        <v>54</v>
      </c>
      <c r="J904" s="2">
        <v>45913</v>
      </c>
      <c r="K904" s="2">
        <v>45913</v>
      </c>
      <c r="L904" t="s">
        <v>26</v>
      </c>
      <c r="M904" t="s">
        <v>57</v>
      </c>
      <c r="O904" t="s">
        <v>69</v>
      </c>
      <c r="P904" t="s">
        <v>93</v>
      </c>
      <c r="Q904">
        <f t="shared" si="56"/>
        <v>1</v>
      </c>
      <c r="R904" s="3">
        <f t="shared" si="57"/>
        <v>4</v>
      </c>
      <c r="S904">
        <f t="shared" si="58"/>
        <v>0</v>
      </c>
      <c r="T904">
        <f t="shared" si="59"/>
        <v>0</v>
      </c>
    </row>
    <row r="905" spans="1:20" x14ac:dyDescent="0.25">
      <c r="A905" t="s">
        <v>971</v>
      </c>
      <c r="B905">
        <v>904</v>
      </c>
      <c r="C905" t="s">
        <v>78</v>
      </c>
      <c r="D905" t="s">
        <v>22</v>
      </c>
      <c r="E905" t="s">
        <v>60</v>
      </c>
      <c r="F905" s="2">
        <v>45985</v>
      </c>
      <c r="G905" s="2">
        <v>45986</v>
      </c>
      <c r="H905" t="s">
        <v>45</v>
      </c>
      <c r="I905" t="s">
        <v>62</v>
      </c>
      <c r="J905" s="2">
        <v>45992</v>
      </c>
      <c r="K905" s="2">
        <v>45992</v>
      </c>
      <c r="L905" t="s">
        <v>26</v>
      </c>
      <c r="M905" t="s">
        <v>27</v>
      </c>
      <c r="O905" t="s">
        <v>28</v>
      </c>
      <c r="Q905">
        <f t="shared" si="56"/>
        <v>1</v>
      </c>
      <c r="R905" s="3">
        <f t="shared" si="57"/>
        <v>7</v>
      </c>
      <c r="S905">
        <f t="shared" si="58"/>
        <v>0</v>
      </c>
      <c r="T905">
        <f t="shared" si="59"/>
        <v>0</v>
      </c>
    </row>
    <row r="906" spans="1:20" x14ac:dyDescent="0.25">
      <c r="A906" t="s">
        <v>972</v>
      </c>
      <c r="B906">
        <v>905</v>
      </c>
      <c r="C906" t="s">
        <v>36</v>
      </c>
      <c r="D906" t="s">
        <v>52</v>
      </c>
      <c r="E906" t="s">
        <v>40</v>
      </c>
      <c r="F906" s="2">
        <v>45967</v>
      </c>
      <c r="G906" s="2">
        <v>45967</v>
      </c>
      <c r="H906" t="s">
        <v>45</v>
      </c>
      <c r="I906" t="s">
        <v>42</v>
      </c>
      <c r="J906" s="2">
        <v>45970</v>
      </c>
      <c r="K906" s="2">
        <v>45970</v>
      </c>
      <c r="L906" t="s">
        <v>46</v>
      </c>
      <c r="M906" t="s">
        <v>57</v>
      </c>
      <c r="O906" t="s">
        <v>28</v>
      </c>
      <c r="Q906">
        <f t="shared" si="56"/>
        <v>1</v>
      </c>
      <c r="R906" s="3">
        <f t="shared" si="57"/>
        <v>3</v>
      </c>
      <c r="S906">
        <f t="shared" si="58"/>
        <v>0</v>
      </c>
      <c r="T906">
        <f t="shared" si="59"/>
        <v>1</v>
      </c>
    </row>
    <row r="907" spans="1:20" x14ac:dyDescent="0.25">
      <c r="A907" t="s">
        <v>973</v>
      </c>
      <c r="B907">
        <v>906</v>
      </c>
      <c r="C907" t="s">
        <v>21</v>
      </c>
      <c r="D907" t="s">
        <v>30</v>
      </c>
      <c r="E907" t="s">
        <v>53</v>
      </c>
      <c r="F907" s="2">
        <v>45866</v>
      </c>
      <c r="G907" s="2">
        <v>45868</v>
      </c>
      <c r="H907" t="s">
        <v>45</v>
      </c>
      <c r="I907" t="s">
        <v>83</v>
      </c>
      <c r="J907" s="2">
        <v>45871</v>
      </c>
      <c r="K907" s="2">
        <v>45872</v>
      </c>
      <c r="L907" t="s">
        <v>26</v>
      </c>
      <c r="M907" t="s">
        <v>32</v>
      </c>
      <c r="N907" t="s">
        <v>67</v>
      </c>
      <c r="O907" t="s">
        <v>34</v>
      </c>
      <c r="P907" t="s">
        <v>71</v>
      </c>
      <c r="Q907">
        <f t="shared" si="56"/>
        <v>0</v>
      </c>
      <c r="R907" s="3">
        <f t="shared" si="57"/>
        <v>5</v>
      </c>
      <c r="S907">
        <f t="shared" si="58"/>
        <v>1</v>
      </c>
      <c r="T907">
        <f t="shared" si="59"/>
        <v>0</v>
      </c>
    </row>
    <row r="908" spans="1:20" x14ac:dyDescent="0.25">
      <c r="A908" t="s">
        <v>974</v>
      </c>
      <c r="B908">
        <v>907</v>
      </c>
      <c r="C908" t="s">
        <v>21</v>
      </c>
      <c r="D908" t="s">
        <v>39</v>
      </c>
      <c r="E908" t="s">
        <v>53</v>
      </c>
      <c r="F908" s="2">
        <v>45964</v>
      </c>
      <c r="G908" s="2">
        <v>45964</v>
      </c>
      <c r="H908" t="s">
        <v>61</v>
      </c>
      <c r="I908" t="s">
        <v>62</v>
      </c>
      <c r="J908" s="2">
        <v>45965</v>
      </c>
      <c r="K908" s="2">
        <v>45967</v>
      </c>
      <c r="L908" t="s">
        <v>26</v>
      </c>
      <c r="M908" t="s">
        <v>32</v>
      </c>
      <c r="N908" t="s">
        <v>67</v>
      </c>
      <c r="O908" t="s">
        <v>81</v>
      </c>
      <c r="Q908">
        <f t="shared" si="56"/>
        <v>0</v>
      </c>
      <c r="R908" s="3">
        <f t="shared" si="57"/>
        <v>1</v>
      </c>
      <c r="S908">
        <f t="shared" si="58"/>
        <v>1</v>
      </c>
      <c r="T908">
        <f t="shared" si="59"/>
        <v>0</v>
      </c>
    </row>
    <row r="909" spans="1:20" x14ac:dyDescent="0.25">
      <c r="A909" t="s">
        <v>975</v>
      </c>
      <c r="B909">
        <v>908</v>
      </c>
      <c r="C909" t="s">
        <v>36</v>
      </c>
      <c r="D909" t="s">
        <v>39</v>
      </c>
      <c r="E909" t="s">
        <v>53</v>
      </c>
      <c r="F909" s="2">
        <v>45891</v>
      </c>
      <c r="G909" s="2">
        <v>45892</v>
      </c>
      <c r="H909" t="s">
        <v>45</v>
      </c>
      <c r="I909" t="s">
        <v>62</v>
      </c>
      <c r="J909" s="2">
        <v>45896</v>
      </c>
      <c r="K909" s="2">
        <v>45896</v>
      </c>
      <c r="L909" t="s">
        <v>26</v>
      </c>
      <c r="M909" t="s">
        <v>57</v>
      </c>
      <c r="O909" t="s">
        <v>34</v>
      </c>
      <c r="Q909">
        <f t="shared" si="56"/>
        <v>1</v>
      </c>
      <c r="R909" s="3">
        <f t="shared" si="57"/>
        <v>5</v>
      </c>
      <c r="S909">
        <f t="shared" si="58"/>
        <v>0</v>
      </c>
      <c r="T909">
        <f t="shared" si="59"/>
        <v>0</v>
      </c>
    </row>
    <row r="910" spans="1:20" x14ac:dyDescent="0.25">
      <c r="A910" t="s">
        <v>976</v>
      </c>
      <c r="B910">
        <v>909</v>
      </c>
      <c r="C910" t="s">
        <v>59</v>
      </c>
      <c r="D910" t="s">
        <v>22</v>
      </c>
      <c r="E910" t="s">
        <v>40</v>
      </c>
      <c r="F910" s="2">
        <v>45719</v>
      </c>
      <c r="G910" s="2">
        <v>45720</v>
      </c>
      <c r="H910" t="s">
        <v>31</v>
      </c>
      <c r="I910" t="s">
        <v>62</v>
      </c>
      <c r="J910" s="2">
        <v>45724</v>
      </c>
      <c r="K910" s="2">
        <v>45724</v>
      </c>
      <c r="L910" t="s">
        <v>26</v>
      </c>
      <c r="M910" t="s">
        <v>27</v>
      </c>
      <c r="O910" t="s">
        <v>37</v>
      </c>
      <c r="Q910">
        <f t="shared" si="56"/>
        <v>1</v>
      </c>
      <c r="R910" s="3">
        <f t="shared" si="57"/>
        <v>5</v>
      </c>
      <c r="S910">
        <f t="shared" si="58"/>
        <v>0</v>
      </c>
      <c r="T910">
        <f t="shared" si="59"/>
        <v>0</v>
      </c>
    </row>
    <row r="911" spans="1:20" x14ac:dyDescent="0.25">
      <c r="A911" t="s">
        <v>977</v>
      </c>
      <c r="B911">
        <v>910</v>
      </c>
      <c r="C911" t="s">
        <v>21</v>
      </c>
      <c r="D911" t="s">
        <v>39</v>
      </c>
      <c r="E911" t="s">
        <v>23</v>
      </c>
      <c r="F911" s="2">
        <v>45779</v>
      </c>
      <c r="G911" s="2">
        <v>45781</v>
      </c>
      <c r="H911" t="s">
        <v>31</v>
      </c>
      <c r="I911" t="s">
        <v>85</v>
      </c>
      <c r="J911" s="2">
        <v>45783</v>
      </c>
      <c r="K911" s="2">
        <v>45783</v>
      </c>
      <c r="L911" t="s">
        <v>26</v>
      </c>
      <c r="M911" t="s">
        <v>27</v>
      </c>
      <c r="O911" t="s">
        <v>81</v>
      </c>
      <c r="Q911">
        <f t="shared" si="56"/>
        <v>1</v>
      </c>
      <c r="R911" s="3">
        <f t="shared" si="57"/>
        <v>4</v>
      </c>
      <c r="S911">
        <f t="shared" si="58"/>
        <v>0</v>
      </c>
      <c r="T911">
        <f t="shared" si="59"/>
        <v>0</v>
      </c>
    </row>
    <row r="912" spans="1:20" x14ac:dyDescent="0.25">
      <c r="A912" t="s">
        <v>978</v>
      </c>
      <c r="B912">
        <v>911</v>
      </c>
      <c r="C912" t="s">
        <v>36</v>
      </c>
      <c r="D912" t="s">
        <v>30</v>
      </c>
      <c r="E912" t="s">
        <v>60</v>
      </c>
      <c r="F912" s="2">
        <v>45907</v>
      </c>
      <c r="G912" s="2">
        <v>45908</v>
      </c>
      <c r="H912" t="s">
        <v>24</v>
      </c>
      <c r="I912" t="s">
        <v>62</v>
      </c>
      <c r="J912" s="2">
        <v>45912</v>
      </c>
      <c r="K912" s="2">
        <v>45912</v>
      </c>
      <c r="L912" t="s">
        <v>26</v>
      </c>
      <c r="M912" t="s">
        <v>27</v>
      </c>
      <c r="O912" t="s">
        <v>81</v>
      </c>
      <c r="P912" t="s">
        <v>76</v>
      </c>
      <c r="Q912">
        <f t="shared" si="56"/>
        <v>1</v>
      </c>
      <c r="R912" s="3">
        <f t="shared" si="57"/>
        <v>5</v>
      </c>
      <c r="S912">
        <f t="shared" si="58"/>
        <v>0</v>
      </c>
      <c r="T912">
        <f t="shared" si="59"/>
        <v>0</v>
      </c>
    </row>
    <row r="913" spans="1:20" x14ac:dyDescent="0.25">
      <c r="A913" t="s">
        <v>979</v>
      </c>
      <c r="B913">
        <v>912</v>
      </c>
      <c r="C913" t="s">
        <v>51</v>
      </c>
      <c r="D913" t="s">
        <v>39</v>
      </c>
      <c r="E913" t="s">
        <v>56</v>
      </c>
      <c r="F913" s="2">
        <v>45873</v>
      </c>
      <c r="G913" s="2">
        <v>45873</v>
      </c>
      <c r="H913" t="s">
        <v>61</v>
      </c>
      <c r="I913" t="s">
        <v>25</v>
      </c>
      <c r="J913" s="2">
        <v>45877</v>
      </c>
      <c r="K913" s="2">
        <v>45877</v>
      </c>
      <c r="L913" t="s">
        <v>26</v>
      </c>
      <c r="M913" t="s">
        <v>57</v>
      </c>
      <c r="O913" t="s">
        <v>43</v>
      </c>
      <c r="Q913">
        <f t="shared" si="56"/>
        <v>1</v>
      </c>
      <c r="R913" s="3">
        <f t="shared" si="57"/>
        <v>4</v>
      </c>
      <c r="S913">
        <f t="shared" si="58"/>
        <v>0</v>
      </c>
      <c r="T913">
        <f t="shared" si="59"/>
        <v>0</v>
      </c>
    </row>
    <row r="914" spans="1:20" x14ac:dyDescent="0.25">
      <c r="A914" t="s">
        <v>980</v>
      </c>
      <c r="B914">
        <v>913</v>
      </c>
      <c r="C914" t="s">
        <v>59</v>
      </c>
      <c r="D914" t="s">
        <v>64</v>
      </c>
      <c r="E914" t="s">
        <v>56</v>
      </c>
      <c r="F914" s="2">
        <v>45985</v>
      </c>
      <c r="G914" s="2">
        <v>45987</v>
      </c>
      <c r="H914" t="s">
        <v>61</v>
      </c>
      <c r="I914" t="s">
        <v>73</v>
      </c>
      <c r="J914" s="2">
        <v>45988</v>
      </c>
      <c r="K914" s="2">
        <v>45988</v>
      </c>
      <c r="L914" t="s">
        <v>26</v>
      </c>
      <c r="M914" t="s">
        <v>57</v>
      </c>
      <c r="O914" t="s">
        <v>81</v>
      </c>
      <c r="Q914">
        <f t="shared" si="56"/>
        <v>1</v>
      </c>
      <c r="R914" s="3">
        <f t="shared" si="57"/>
        <v>3</v>
      </c>
      <c r="S914">
        <f t="shared" si="58"/>
        <v>0</v>
      </c>
      <c r="T914">
        <f t="shared" si="59"/>
        <v>0</v>
      </c>
    </row>
    <row r="915" spans="1:20" x14ac:dyDescent="0.25">
      <c r="A915" t="s">
        <v>981</v>
      </c>
      <c r="B915">
        <v>914</v>
      </c>
      <c r="C915" t="s">
        <v>59</v>
      </c>
      <c r="D915" t="s">
        <v>22</v>
      </c>
      <c r="E915" t="s">
        <v>53</v>
      </c>
      <c r="F915" s="2">
        <v>45944</v>
      </c>
      <c r="G915" s="2">
        <v>45944</v>
      </c>
      <c r="H915" t="s">
        <v>61</v>
      </c>
      <c r="I915" t="s">
        <v>25</v>
      </c>
      <c r="J915" s="2">
        <v>45948</v>
      </c>
      <c r="K915" s="2">
        <v>45948</v>
      </c>
      <c r="L915" t="s">
        <v>26</v>
      </c>
      <c r="M915" t="s">
        <v>27</v>
      </c>
      <c r="O915" t="s">
        <v>81</v>
      </c>
      <c r="P915" t="s">
        <v>71</v>
      </c>
      <c r="Q915">
        <f t="shared" si="56"/>
        <v>1</v>
      </c>
      <c r="R915" s="3">
        <f t="shared" si="57"/>
        <v>4</v>
      </c>
      <c r="S915">
        <f t="shared" si="58"/>
        <v>0</v>
      </c>
      <c r="T915">
        <f t="shared" si="59"/>
        <v>0</v>
      </c>
    </row>
    <row r="916" spans="1:20" x14ac:dyDescent="0.25">
      <c r="A916" t="s">
        <v>982</v>
      </c>
      <c r="B916">
        <v>915</v>
      </c>
      <c r="C916" t="s">
        <v>36</v>
      </c>
      <c r="D916" t="s">
        <v>30</v>
      </c>
      <c r="E916" t="s">
        <v>23</v>
      </c>
      <c r="F916" s="2">
        <v>45752</v>
      </c>
      <c r="G916" s="2">
        <v>45752</v>
      </c>
      <c r="H916" t="s">
        <v>24</v>
      </c>
      <c r="I916" t="s">
        <v>83</v>
      </c>
      <c r="J916" s="2">
        <v>45756</v>
      </c>
      <c r="K916" s="2">
        <v>45756</v>
      </c>
      <c r="L916" t="s">
        <v>26</v>
      </c>
      <c r="M916" t="s">
        <v>27</v>
      </c>
      <c r="O916" t="s">
        <v>43</v>
      </c>
      <c r="Q916">
        <f t="shared" si="56"/>
        <v>1</v>
      </c>
      <c r="R916" s="3">
        <f t="shared" si="57"/>
        <v>4</v>
      </c>
      <c r="S916">
        <f t="shared" si="58"/>
        <v>0</v>
      </c>
      <c r="T916">
        <f t="shared" si="59"/>
        <v>0</v>
      </c>
    </row>
    <row r="917" spans="1:20" x14ac:dyDescent="0.25">
      <c r="A917" t="s">
        <v>983</v>
      </c>
      <c r="B917">
        <v>916</v>
      </c>
      <c r="C917" t="s">
        <v>21</v>
      </c>
      <c r="D917" t="s">
        <v>22</v>
      </c>
      <c r="E917" t="s">
        <v>60</v>
      </c>
      <c r="F917" s="2">
        <v>45831</v>
      </c>
      <c r="G917" s="2">
        <v>45831</v>
      </c>
      <c r="H917" t="s">
        <v>61</v>
      </c>
      <c r="I917" t="s">
        <v>25</v>
      </c>
      <c r="J917" s="2">
        <v>45835</v>
      </c>
      <c r="K917" s="2">
        <v>45835</v>
      </c>
      <c r="L917" t="s">
        <v>26</v>
      </c>
      <c r="M917" t="s">
        <v>57</v>
      </c>
      <c r="O917" t="s">
        <v>34</v>
      </c>
      <c r="P917" t="s">
        <v>71</v>
      </c>
      <c r="Q917">
        <f t="shared" si="56"/>
        <v>1</v>
      </c>
      <c r="R917" s="3">
        <f t="shared" si="57"/>
        <v>4</v>
      </c>
      <c r="S917">
        <f t="shared" si="58"/>
        <v>0</v>
      </c>
      <c r="T917">
        <f t="shared" si="59"/>
        <v>0</v>
      </c>
    </row>
    <row r="918" spans="1:20" x14ac:dyDescent="0.25">
      <c r="A918" t="s">
        <v>984</v>
      </c>
      <c r="B918">
        <v>917</v>
      </c>
      <c r="C918" t="s">
        <v>21</v>
      </c>
      <c r="D918" t="s">
        <v>64</v>
      </c>
      <c r="E918" t="s">
        <v>23</v>
      </c>
      <c r="F918" s="2">
        <v>45973</v>
      </c>
      <c r="G918" s="2">
        <v>45975</v>
      </c>
      <c r="H918" t="s">
        <v>45</v>
      </c>
      <c r="I918" t="s">
        <v>83</v>
      </c>
      <c r="J918" s="2">
        <v>45977</v>
      </c>
      <c r="K918" s="2">
        <v>45977</v>
      </c>
      <c r="L918" t="s">
        <v>46</v>
      </c>
      <c r="M918" t="s">
        <v>57</v>
      </c>
      <c r="O918" t="s">
        <v>69</v>
      </c>
      <c r="P918" t="s">
        <v>88</v>
      </c>
      <c r="Q918">
        <f t="shared" si="56"/>
        <v>1</v>
      </c>
      <c r="R918" s="3">
        <f t="shared" si="57"/>
        <v>4</v>
      </c>
      <c r="S918">
        <f t="shared" si="58"/>
        <v>0</v>
      </c>
      <c r="T918">
        <f t="shared" si="59"/>
        <v>1</v>
      </c>
    </row>
    <row r="919" spans="1:20" x14ac:dyDescent="0.25">
      <c r="A919" t="s">
        <v>985</v>
      </c>
      <c r="B919">
        <v>918</v>
      </c>
      <c r="C919" t="s">
        <v>59</v>
      </c>
      <c r="D919" t="s">
        <v>30</v>
      </c>
      <c r="E919" t="s">
        <v>40</v>
      </c>
      <c r="F919" s="2">
        <v>45847</v>
      </c>
      <c r="G919" s="2">
        <v>45848</v>
      </c>
      <c r="H919" t="s">
        <v>31</v>
      </c>
      <c r="I919" t="s">
        <v>73</v>
      </c>
      <c r="J919" s="2">
        <v>45850</v>
      </c>
      <c r="K919" s="2">
        <v>45850</v>
      </c>
      <c r="L919" t="s">
        <v>26</v>
      </c>
      <c r="M919" t="s">
        <v>27</v>
      </c>
      <c r="O919" t="s">
        <v>43</v>
      </c>
      <c r="Q919">
        <f t="shared" si="56"/>
        <v>1</v>
      </c>
      <c r="R919" s="3">
        <f t="shared" si="57"/>
        <v>3</v>
      </c>
      <c r="S919">
        <f t="shared" si="58"/>
        <v>0</v>
      </c>
      <c r="T919">
        <f t="shared" si="59"/>
        <v>0</v>
      </c>
    </row>
    <row r="920" spans="1:20" x14ac:dyDescent="0.25">
      <c r="A920" t="s">
        <v>986</v>
      </c>
      <c r="B920">
        <v>919</v>
      </c>
      <c r="C920" t="s">
        <v>21</v>
      </c>
      <c r="D920" t="s">
        <v>64</v>
      </c>
      <c r="E920" t="s">
        <v>53</v>
      </c>
      <c r="F920" s="2">
        <v>45749</v>
      </c>
      <c r="G920" s="2">
        <v>45749</v>
      </c>
      <c r="H920" t="s">
        <v>31</v>
      </c>
      <c r="I920" t="s">
        <v>25</v>
      </c>
      <c r="J920" s="2">
        <v>45753</v>
      </c>
      <c r="K920" s="2">
        <v>45753</v>
      </c>
      <c r="L920" t="s">
        <v>26</v>
      </c>
      <c r="M920" t="s">
        <v>57</v>
      </c>
      <c r="O920" t="s">
        <v>34</v>
      </c>
      <c r="Q920">
        <f t="shared" si="56"/>
        <v>1</v>
      </c>
      <c r="R920" s="3">
        <f t="shared" si="57"/>
        <v>4</v>
      </c>
      <c r="S920">
        <f t="shared" si="58"/>
        <v>0</v>
      </c>
      <c r="T920">
        <f t="shared" si="59"/>
        <v>0</v>
      </c>
    </row>
    <row r="921" spans="1:20" x14ac:dyDescent="0.25">
      <c r="A921" t="s">
        <v>987</v>
      </c>
      <c r="B921">
        <v>920</v>
      </c>
      <c r="C921" t="s">
        <v>51</v>
      </c>
      <c r="D921" t="s">
        <v>39</v>
      </c>
      <c r="E921" t="s">
        <v>40</v>
      </c>
      <c r="F921" s="2">
        <v>46007</v>
      </c>
      <c r="G921" s="2">
        <v>46007</v>
      </c>
      <c r="H921" t="s">
        <v>45</v>
      </c>
      <c r="I921" t="s">
        <v>62</v>
      </c>
      <c r="J921" s="2">
        <v>46012</v>
      </c>
      <c r="K921" s="2">
        <v>46012</v>
      </c>
      <c r="L921" t="s">
        <v>26</v>
      </c>
      <c r="M921" t="s">
        <v>27</v>
      </c>
      <c r="O921" t="s">
        <v>37</v>
      </c>
      <c r="Q921">
        <f t="shared" si="56"/>
        <v>1</v>
      </c>
      <c r="R921" s="3">
        <f t="shared" si="57"/>
        <v>5</v>
      </c>
      <c r="S921">
        <f t="shared" si="58"/>
        <v>0</v>
      </c>
      <c r="T921">
        <f t="shared" si="59"/>
        <v>0</v>
      </c>
    </row>
    <row r="922" spans="1:20" x14ac:dyDescent="0.25">
      <c r="A922" t="s">
        <v>988</v>
      </c>
      <c r="B922">
        <v>921</v>
      </c>
      <c r="C922" t="s">
        <v>78</v>
      </c>
      <c r="D922" t="s">
        <v>39</v>
      </c>
      <c r="E922" t="s">
        <v>53</v>
      </c>
      <c r="F922" s="2">
        <v>45866</v>
      </c>
      <c r="G922" s="2">
        <v>45866</v>
      </c>
      <c r="H922" t="s">
        <v>31</v>
      </c>
      <c r="I922" t="s">
        <v>54</v>
      </c>
      <c r="J922" s="2">
        <v>45868</v>
      </c>
      <c r="K922" s="2">
        <v>45870</v>
      </c>
      <c r="L922" t="s">
        <v>26</v>
      </c>
      <c r="M922" t="s">
        <v>32</v>
      </c>
      <c r="N922" t="s">
        <v>67</v>
      </c>
      <c r="O922" t="s">
        <v>69</v>
      </c>
      <c r="Q922">
        <f t="shared" si="56"/>
        <v>0</v>
      </c>
      <c r="R922" s="3">
        <f t="shared" si="57"/>
        <v>2</v>
      </c>
      <c r="S922">
        <f t="shared" si="58"/>
        <v>1</v>
      </c>
      <c r="T922">
        <f t="shared" si="59"/>
        <v>0</v>
      </c>
    </row>
    <row r="923" spans="1:20" x14ac:dyDescent="0.25">
      <c r="A923" t="s">
        <v>989</v>
      </c>
      <c r="B923">
        <v>922</v>
      </c>
      <c r="C923" t="s">
        <v>36</v>
      </c>
      <c r="D923" t="s">
        <v>64</v>
      </c>
      <c r="E923" t="s">
        <v>23</v>
      </c>
      <c r="F923" s="2">
        <v>45784</v>
      </c>
      <c r="G923" s="2">
        <v>45784</v>
      </c>
      <c r="H923" t="s">
        <v>61</v>
      </c>
      <c r="I923" t="s">
        <v>25</v>
      </c>
      <c r="J923" s="2">
        <v>45788</v>
      </c>
      <c r="K923" s="2">
        <v>45788</v>
      </c>
      <c r="L923" t="s">
        <v>26</v>
      </c>
      <c r="M923" t="s">
        <v>57</v>
      </c>
      <c r="O923" t="s">
        <v>37</v>
      </c>
      <c r="Q923">
        <f t="shared" si="56"/>
        <v>1</v>
      </c>
      <c r="R923" s="3">
        <f t="shared" si="57"/>
        <v>4</v>
      </c>
      <c r="S923">
        <f t="shared" si="58"/>
        <v>0</v>
      </c>
      <c r="T923">
        <f t="shared" si="59"/>
        <v>0</v>
      </c>
    </row>
    <row r="924" spans="1:20" x14ac:dyDescent="0.25">
      <c r="A924" t="s">
        <v>990</v>
      </c>
      <c r="B924">
        <v>923</v>
      </c>
      <c r="C924" t="s">
        <v>59</v>
      </c>
      <c r="D924" t="s">
        <v>22</v>
      </c>
      <c r="E924" t="s">
        <v>60</v>
      </c>
      <c r="F924" s="2">
        <v>45882</v>
      </c>
      <c r="G924" s="2">
        <v>45883</v>
      </c>
      <c r="H924" t="s">
        <v>41</v>
      </c>
      <c r="I924" t="s">
        <v>83</v>
      </c>
      <c r="J924" s="2">
        <v>45887</v>
      </c>
      <c r="K924" s="2">
        <v>45887</v>
      </c>
      <c r="L924" t="s">
        <v>26</v>
      </c>
      <c r="M924" t="s">
        <v>57</v>
      </c>
      <c r="O924" t="s">
        <v>34</v>
      </c>
      <c r="Q924">
        <f t="shared" si="56"/>
        <v>1</v>
      </c>
      <c r="R924" s="3">
        <f t="shared" si="57"/>
        <v>5</v>
      </c>
      <c r="S924">
        <f t="shared" si="58"/>
        <v>0</v>
      </c>
      <c r="T924">
        <f t="shared" si="59"/>
        <v>0</v>
      </c>
    </row>
    <row r="925" spans="1:20" x14ac:dyDescent="0.25">
      <c r="A925" t="s">
        <v>991</v>
      </c>
      <c r="B925">
        <v>924</v>
      </c>
      <c r="C925" t="s">
        <v>78</v>
      </c>
      <c r="D925" t="s">
        <v>52</v>
      </c>
      <c r="E925" t="s">
        <v>60</v>
      </c>
      <c r="F925" s="2">
        <v>45796</v>
      </c>
      <c r="G925" s="2">
        <v>45797</v>
      </c>
      <c r="H925" t="s">
        <v>31</v>
      </c>
      <c r="I925" t="s">
        <v>73</v>
      </c>
      <c r="J925" s="2">
        <v>45799</v>
      </c>
      <c r="K925" s="2">
        <v>45799</v>
      </c>
      <c r="L925" t="s">
        <v>26</v>
      </c>
      <c r="M925" t="s">
        <v>57</v>
      </c>
      <c r="O925" t="s">
        <v>81</v>
      </c>
      <c r="P925" t="s">
        <v>88</v>
      </c>
      <c r="Q925">
        <f t="shared" si="56"/>
        <v>1</v>
      </c>
      <c r="R925" s="3">
        <f t="shared" si="57"/>
        <v>3</v>
      </c>
      <c r="S925">
        <f t="shared" si="58"/>
        <v>0</v>
      </c>
      <c r="T925">
        <f t="shared" si="59"/>
        <v>0</v>
      </c>
    </row>
    <row r="926" spans="1:20" x14ac:dyDescent="0.25">
      <c r="A926" t="s">
        <v>992</v>
      </c>
      <c r="B926">
        <v>925</v>
      </c>
      <c r="C926" t="s">
        <v>59</v>
      </c>
      <c r="D926" t="s">
        <v>39</v>
      </c>
      <c r="E926" t="s">
        <v>60</v>
      </c>
      <c r="F926" s="2">
        <v>45794</v>
      </c>
      <c r="G926" s="2">
        <v>45794</v>
      </c>
      <c r="H926" t="s">
        <v>61</v>
      </c>
      <c r="I926" t="s">
        <v>25</v>
      </c>
      <c r="J926" s="2">
        <v>45796</v>
      </c>
      <c r="K926" s="2">
        <v>45796</v>
      </c>
      <c r="L926" t="s">
        <v>26</v>
      </c>
      <c r="M926" t="s">
        <v>57</v>
      </c>
      <c r="O926" t="s">
        <v>69</v>
      </c>
      <c r="Q926">
        <f t="shared" si="56"/>
        <v>1</v>
      </c>
      <c r="R926" s="3">
        <f t="shared" si="57"/>
        <v>2</v>
      </c>
      <c r="S926">
        <f t="shared" si="58"/>
        <v>0</v>
      </c>
      <c r="T926">
        <f t="shared" si="59"/>
        <v>0</v>
      </c>
    </row>
    <row r="927" spans="1:20" x14ac:dyDescent="0.25">
      <c r="A927" t="s">
        <v>993</v>
      </c>
      <c r="B927">
        <v>926</v>
      </c>
      <c r="C927" t="s">
        <v>51</v>
      </c>
      <c r="D927" t="s">
        <v>30</v>
      </c>
      <c r="E927" t="s">
        <v>23</v>
      </c>
      <c r="F927" s="2">
        <v>45915</v>
      </c>
      <c r="G927" s="2">
        <v>45917</v>
      </c>
      <c r="H927" t="s">
        <v>31</v>
      </c>
      <c r="I927" t="s">
        <v>85</v>
      </c>
      <c r="J927" s="2">
        <v>45919</v>
      </c>
      <c r="K927" s="2">
        <v>45919</v>
      </c>
      <c r="L927" t="s">
        <v>26</v>
      </c>
      <c r="M927" t="s">
        <v>27</v>
      </c>
      <c r="O927" t="s">
        <v>81</v>
      </c>
      <c r="Q927">
        <f t="shared" si="56"/>
        <v>1</v>
      </c>
      <c r="R927" s="3">
        <f t="shared" si="57"/>
        <v>4</v>
      </c>
      <c r="S927">
        <f t="shared" si="58"/>
        <v>0</v>
      </c>
      <c r="T927">
        <f t="shared" si="59"/>
        <v>0</v>
      </c>
    </row>
    <row r="928" spans="1:20" x14ac:dyDescent="0.25">
      <c r="A928" t="s">
        <v>994</v>
      </c>
      <c r="B928">
        <v>927</v>
      </c>
      <c r="C928" t="s">
        <v>78</v>
      </c>
      <c r="D928" t="s">
        <v>30</v>
      </c>
      <c r="E928" t="s">
        <v>56</v>
      </c>
      <c r="F928" s="2">
        <v>45963</v>
      </c>
      <c r="G928" s="2">
        <v>45965</v>
      </c>
      <c r="H928" t="s">
        <v>31</v>
      </c>
      <c r="I928" t="s">
        <v>42</v>
      </c>
      <c r="J928" s="2">
        <v>45967</v>
      </c>
      <c r="K928" s="2">
        <v>45967</v>
      </c>
      <c r="L928" t="s">
        <v>46</v>
      </c>
      <c r="M928" t="s">
        <v>27</v>
      </c>
      <c r="O928" t="s">
        <v>69</v>
      </c>
      <c r="Q928">
        <f t="shared" si="56"/>
        <v>1</v>
      </c>
      <c r="R928" s="3">
        <f t="shared" si="57"/>
        <v>4</v>
      </c>
      <c r="S928">
        <f t="shared" si="58"/>
        <v>0</v>
      </c>
      <c r="T928">
        <f t="shared" si="59"/>
        <v>1</v>
      </c>
    </row>
    <row r="929" spans="1:20" x14ac:dyDescent="0.25">
      <c r="A929" t="s">
        <v>995</v>
      </c>
      <c r="B929">
        <v>928</v>
      </c>
      <c r="C929" t="s">
        <v>21</v>
      </c>
      <c r="D929" t="s">
        <v>39</v>
      </c>
      <c r="E929" t="s">
        <v>56</v>
      </c>
      <c r="F929" s="2">
        <v>45819</v>
      </c>
      <c r="G929" s="2">
        <v>45821</v>
      </c>
      <c r="H929" t="s">
        <v>31</v>
      </c>
      <c r="I929" t="s">
        <v>54</v>
      </c>
      <c r="J929" s="2">
        <v>45824</v>
      </c>
      <c r="K929" s="2">
        <v>45824</v>
      </c>
      <c r="L929" t="s">
        <v>26</v>
      </c>
      <c r="M929" t="s">
        <v>57</v>
      </c>
      <c r="O929" t="s">
        <v>81</v>
      </c>
      <c r="P929" t="s">
        <v>71</v>
      </c>
      <c r="Q929">
        <f t="shared" si="56"/>
        <v>1</v>
      </c>
      <c r="R929" s="3">
        <f t="shared" si="57"/>
        <v>5</v>
      </c>
      <c r="S929">
        <f t="shared" si="58"/>
        <v>0</v>
      </c>
      <c r="T929">
        <f t="shared" si="59"/>
        <v>0</v>
      </c>
    </row>
    <row r="930" spans="1:20" x14ac:dyDescent="0.25">
      <c r="A930" t="s">
        <v>996</v>
      </c>
      <c r="B930">
        <v>929</v>
      </c>
      <c r="C930" t="s">
        <v>59</v>
      </c>
      <c r="D930" t="s">
        <v>22</v>
      </c>
      <c r="E930" t="s">
        <v>56</v>
      </c>
      <c r="F930" s="2">
        <v>45735</v>
      </c>
      <c r="G930" s="2">
        <v>45737</v>
      </c>
      <c r="H930" t="s">
        <v>41</v>
      </c>
      <c r="I930" t="s">
        <v>42</v>
      </c>
      <c r="J930" s="2">
        <v>45740</v>
      </c>
      <c r="K930" s="2">
        <v>45742</v>
      </c>
      <c r="L930" t="s">
        <v>26</v>
      </c>
      <c r="M930" t="s">
        <v>32</v>
      </c>
      <c r="N930" t="s">
        <v>49</v>
      </c>
      <c r="O930" t="s">
        <v>34</v>
      </c>
      <c r="Q930">
        <f t="shared" si="56"/>
        <v>0</v>
      </c>
      <c r="R930" s="3">
        <f t="shared" si="57"/>
        <v>5</v>
      </c>
      <c r="S930">
        <f t="shared" si="58"/>
        <v>1</v>
      </c>
      <c r="T930">
        <f t="shared" si="59"/>
        <v>0</v>
      </c>
    </row>
    <row r="931" spans="1:20" x14ac:dyDescent="0.25">
      <c r="A931" t="s">
        <v>997</v>
      </c>
      <c r="B931">
        <v>930</v>
      </c>
      <c r="C931" t="s">
        <v>21</v>
      </c>
      <c r="D931" t="s">
        <v>39</v>
      </c>
      <c r="E931" t="s">
        <v>53</v>
      </c>
      <c r="F931" s="2">
        <v>45845</v>
      </c>
      <c r="G931" s="2">
        <v>45847</v>
      </c>
      <c r="H931" t="s">
        <v>24</v>
      </c>
      <c r="I931" t="s">
        <v>25</v>
      </c>
      <c r="J931" s="2">
        <v>45852</v>
      </c>
      <c r="K931" s="2">
        <v>45852</v>
      </c>
      <c r="L931" t="s">
        <v>26</v>
      </c>
      <c r="M931" t="s">
        <v>57</v>
      </c>
      <c r="O931" t="s">
        <v>34</v>
      </c>
      <c r="Q931">
        <f t="shared" si="56"/>
        <v>1</v>
      </c>
      <c r="R931" s="3">
        <f t="shared" si="57"/>
        <v>7</v>
      </c>
      <c r="S931">
        <f t="shared" si="58"/>
        <v>0</v>
      </c>
      <c r="T931">
        <f t="shared" si="59"/>
        <v>0</v>
      </c>
    </row>
    <row r="932" spans="1:20" x14ac:dyDescent="0.25">
      <c r="A932" t="s">
        <v>998</v>
      </c>
      <c r="B932">
        <v>931</v>
      </c>
      <c r="C932" t="s">
        <v>36</v>
      </c>
      <c r="D932" t="s">
        <v>39</v>
      </c>
      <c r="E932" t="s">
        <v>23</v>
      </c>
      <c r="F932" s="2">
        <v>45832</v>
      </c>
      <c r="G932" s="2">
        <v>45834</v>
      </c>
      <c r="H932" t="s">
        <v>31</v>
      </c>
      <c r="I932" t="s">
        <v>54</v>
      </c>
      <c r="J932" s="2">
        <v>45840</v>
      </c>
      <c r="K932" s="2">
        <v>45840</v>
      </c>
      <c r="L932" t="s">
        <v>46</v>
      </c>
      <c r="M932" t="s">
        <v>27</v>
      </c>
      <c r="O932" t="s">
        <v>81</v>
      </c>
      <c r="Q932">
        <f t="shared" si="56"/>
        <v>1</v>
      </c>
      <c r="R932" s="3">
        <f t="shared" si="57"/>
        <v>8</v>
      </c>
      <c r="S932">
        <f t="shared" si="58"/>
        <v>0</v>
      </c>
      <c r="T932">
        <f t="shared" si="59"/>
        <v>1</v>
      </c>
    </row>
    <row r="933" spans="1:20" x14ac:dyDescent="0.25">
      <c r="A933" t="s">
        <v>999</v>
      </c>
      <c r="B933">
        <v>932</v>
      </c>
      <c r="C933" t="s">
        <v>21</v>
      </c>
      <c r="D933" t="s">
        <v>22</v>
      </c>
      <c r="E933" t="s">
        <v>23</v>
      </c>
      <c r="F933" s="2">
        <v>45860</v>
      </c>
      <c r="G933" s="2">
        <v>45862</v>
      </c>
      <c r="H933" t="s">
        <v>45</v>
      </c>
      <c r="I933" t="s">
        <v>42</v>
      </c>
      <c r="J933" s="2">
        <v>45865</v>
      </c>
      <c r="K933" s="2">
        <v>45865</v>
      </c>
      <c r="L933" t="s">
        <v>26</v>
      </c>
      <c r="M933" t="s">
        <v>57</v>
      </c>
      <c r="O933" t="s">
        <v>28</v>
      </c>
      <c r="Q933">
        <f t="shared" si="56"/>
        <v>1</v>
      </c>
      <c r="R933" s="3">
        <f t="shared" si="57"/>
        <v>5</v>
      </c>
      <c r="S933">
        <f t="shared" si="58"/>
        <v>0</v>
      </c>
      <c r="T933">
        <f t="shared" si="59"/>
        <v>0</v>
      </c>
    </row>
    <row r="934" spans="1:20" x14ac:dyDescent="0.25">
      <c r="A934" t="s">
        <v>1000</v>
      </c>
      <c r="B934">
        <v>933</v>
      </c>
      <c r="C934" t="s">
        <v>51</v>
      </c>
      <c r="D934" t="s">
        <v>64</v>
      </c>
      <c r="E934" t="s">
        <v>40</v>
      </c>
      <c r="F934" s="2">
        <v>45775</v>
      </c>
      <c r="G934" s="2">
        <v>45776</v>
      </c>
      <c r="H934" t="s">
        <v>61</v>
      </c>
      <c r="I934" t="s">
        <v>83</v>
      </c>
      <c r="J934" s="2">
        <v>45779</v>
      </c>
      <c r="K934" s="2">
        <v>45779</v>
      </c>
      <c r="L934" t="s">
        <v>46</v>
      </c>
      <c r="M934" t="s">
        <v>27</v>
      </c>
      <c r="O934" t="s">
        <v>28</v>
      </c>
      <c r="P934" t="s">
        <v>76</v>
      </c>
      <c r="Q934">
        <f t="shared" si="56"/>
        <v>1</v>
      </c>
      <c r="R934" s="3">
        <f t="shared" si="57"/>
        <v>4</v>
      </c>
      <c r="S934">
        <f t="shared" si="58"/>
        <v>0</v>
      </c>
      <c r="T934">
        <f t="shared" si="59"/>
        <v>1</v>
      </c>
    </row>
    <row r="935" spans="1:20" x14ac:dyDescent="0.25">
      <c r="A935" t="s">
        <v>1001</v>
      </c>
      <c r="B935">
        <v>934</v>
      </c>
      <c r="C935" t="s">
        <v>51</v>
      </c>
      <c r="D935" t="s">
        <v>64</v>
      </c>
      <c r="E935" t="s">
        <v>53</v>
      </c>
      <c r="F935" s="2">
        <v>45969</v>
      </c>
      <c r="G935" s="2">
        <v>45970</v>
      </c>
      <c r="H935" t="s">
        <v>41</v>
      </c>
      <c r="I935" t="s">
        <v>62</v>
      </c>
      <c r="J935" s="2">
        <v>45974</v>
      </c>
      <c r="K935" s="2">
        <v>45976</v>
      </c>
      <c r="L935" t="s">
        <v>26</v>
      </c>
      <c r="M935" t="s">
        <v>32</v>
      </c>
      <c r="N935" t="s">
        <v>47</v>
      </c>
      <c r="O935" t="s">
        <v>69</v>
      </c>
      <c r="Q935">
        <f t="shared" si="56"/>
        <v>0</v>
      </c>
      <c r="R935" s="3">
        <f t="shared" si="57"/>
        <v>5</v>
      </c>
      <c r="S935">
        <f t="shared" si="58"/>
        <v>1</v>
      </c>
      <c r="T935">
        <f t="shared" si="59"/>
        <v>0</v>
      </c>
    </row>
    <row r="936" spans="1:20" x14ac:dyDescent="0.25">
      <c r="A936" t="s">
        <v>1002</v>
      </c>
      <c r="B936">
        <v>935</v>
      </c>
      <c r="C936" t="s">
        <v>21</v>
      </c>
      <c r="D936" t="s">
        <v>52</v>
      </c>
      <c r="E936" t="s">
        <v>40</v>
      </c>
      <c r="F936" s="2">
        <v>45772</v>
      </c>
      <c r="G936" s="2">
        <v>45773</v>
      </c>
      <c r="H936" t="s">
        <v>61</v>
      </c>
      <c r="I936" t="s">
        <v>83</v>
      </c>
      <c r="J936" s="2">
        <v>45774</v>
      </c>
      <c r="K936" s="2">
        <v>45774</v>
      </c>
      <c r="L936" t="s">
        <v>26</v>
      </c>
      <c r="M936" t="s">
        <v>27</v>
      </c>
      <c r="O936" t="s">
        <v>28</v>
      </c>
      <c r="Q936">
        <f t="shared" si="56"/>
        <v>1</v>
      </c>
      <c r="R936" s="3">
        <f t="shared" si="57"/>
        <v>2</v>
      </c>
      <c r="S936">
        <f t="shared" si="58"/>
        <v>0</v>
      </c>
      <c r="T936">
        <f t="shared" si="59"/>
        <v>0</v>
      </c>
    </row>
    <row r="937" spans="1:20" x14ac:dyDescent="0.25">
      <c r="A937" t="s">
        <v>1003</v>
      </c>
      <c r="B937">
        <v>936</v>
      </c>
      <c r="C937" t="s">
        <v>59</v>
      </c>
      <c r="D937" t="s">
        <v>39</v>
      </c>
      <c r="E937" t="s">
        <v>23</v>
      </c>
      <c r="F937" s="2">
        <v>45678</v>
      </c>
      <c r="G937" s="2">
        <v>45680</v>
      </c>
      <c r="H937" t="s">
        <v>24</v>
      </c>
      <c r="I937" t="s">
        <v>54</v>
      </c>
      <c r="J937" s="2">
        <v>45681</v>
      </c>
      <c r="K937" s="2">
        <v>45682</v>
      </c>
      <c r="L937" t="s">
        <v>26</v>
      </c>
      <c r="M937" t="s">
        <v>27</v>
      </c>
      <c r="O937" t="s">
        <v>34</v>
      </c>
      <c r="Q937">
        <f t="shared" si="56"/>
        <v>0</v>
      </c>
      <c r="R937" s="3">
        <f t="shared" si="57"/>
        <v>3</v>
      </c>
      <c r="S937">
        <f t="shared" si="58"/>
        <v>0</v>
      </c>
      <c r="T937">
        <f t="shared" si="59"/>
        <v>0</v>
      </c>
    </row>
    <row r="938" spans="1:20" x14ac:dyDescent="0.25">
      <c r="A938" t="s">
        <v>1004</v>
      </c>
      <c r="B938">
        <v>937</v>
      </c>
      <c r="C938" t="s">
        <v>59</v>
      </c>
      <c r="D938" t="s">
        <v>39</v>
      </c>
      <c r="E938" t="s">
        <v>56</v>
      </c>
      <c r="F938" s="2">
        <v>45933</v>
      </c>
      <c r="G938" s="2">
        <v>45933</v>
      </c>
      <c r="H938" t="s">
        <v>61</v>
      </c>
      <c r="I938" t="s">
        <v>25</v>
      </c>
      <c r="J938" s="2">
        <v>45936</v>
      </c>
      <c r="K938" s="2">
        <v>45936</v>
      </c>
      <c r="L938" t="s">
        <v>26</v>
      </c>
      <c r="M938" t="s">
        <v>57</v>
      </c>
      <c r="O938" t="s">
        <v>37</v>
      </c>
      <c r="Q938">
        <f t="shared" si="56"/>
        <v>1</v>
      </c>
      <c r="R938" s="3">
        <f t="shared" si="57"/>
        <v>3</v>
      </c>
      <c r="S938">
        <f t="shared" si="58"/>
        <v>0</v>
      </c>
      <c r="T938">
        <f t="shared" si="59"/>
        <v>0</v>
      </c>
    </row>
    <row r="939" spans="1:20" x14ac:dyDescent="0.25">
      <c r="A939" t="s">
        <v>1005</v>
      </c>
      <c r="B939">
        <v>938</v>
      </c>
      <c r="C939" t="s">
        <v>21</v>
      </c>
      <c r="D939" t="s">
        <v>52</v>
      </c>
      <c r="E939" t="s">
        <v>40</v>
      </c>
      <c r="F939" s="2">
        <v>45947</v>
      </c>
      <c r="G939" s="2">
        <v>45947</v>
      </c>
      <c r="H939" t="s">
        <v>61</v>
      </c>
      <c r="I939" t="s">
        <v>62</v>
      </c>
      <c r="J939" s="2">
        <v>45949</v>
      </c>
      <c r="K939" s="2">
        <v>45949</v>
      </c>
      <c r="L939" t="s">
        <v>46</v>
      </c>
      <c r="M939" t="s">
        <v>27</v>
      </c>
      <c r="O939" t="s">
        <v>37</v>
      </c>
      <c r="P939" t="s">
        <v>88</v>
      </c>
      <c r="Q939">
        <f t="shared" si="56"/>
        <v>1</v>
      </c>
      <c r="R939" s="3">
        <f t="shared" si="57"/>
        <v>2</v>
      </c>
      <c r="S939">
        <f t="shared" si="58"/>
        <v>0</v>
      </c>
      <c r="T939">
        <f t="shared" si="59"/>
        <v>1</v>
      </c>
    </row>
    <row r="940" spans="1:20" x14ac:dyDescent="0.25">
      <c r="A940" t="s">
        <v>1006</v>
      </c>
      <c r="B940">
        <v>939</v>
      </c>
      <c r="C940" t="s">
        <v>51</v>
      </c>
      <c r="D940" t="s">
        <v>39</v>
      </c>
      <c r="E940" t="s">
        <v>23</v>
      </c>
      <c r="F940" s="2">
        <v>45748</v>
      </c>
      <c r="G940" s="2">
        <v>45750</v>
      </c>
      <c r="H940" t="s">
        <v>41</v>
      </c>
      <c r="I940" t="s">
        <v>85</v>
      </c>
      <c r="J940" s="2">
        <v>45756</v>
      </c>
      <c r="K940" s="2">
        <v>45756</v>
      </c>
      <c r="L940" t="s">
        <v>26</v>
      </c>
      <c r="M940" t="s">
        <v>57</v>
      </c>
      <c r="O940" t="s">
        <v>69</v>
      </c>
      <c r="P940" t="s">
        <v>93</v>
      </c>
      <c r="Q940">
        <f t="shared" si="56"/>
        <v>1</v>
      </c>
      <c r="R940" s="3">
        <f t="shared" si="57"/>
        <v>8</v>
      </c>
      <c r="S940">
        <f t="shared" si="58"/>
        <v>0</v>
      </c>
      <c r="T940">
        <f t="shared" si="59"/>
        <v>0</v>
      </c>
    </row>
    <row r="941" spans="1:20" x14ac:dyDescent="0.25">
      <c r="A941" t="s">
        <v>1007</v>
      </c>
      <c r="B941">
        <v>940</v>
      </c>
      <c r="C941" t="s">
        <v>21</v>
      </c>
      <c r="D941" t="s">
        <v>64</v>
      </c>
      <c r="E941" t="s">
        <v>23</v>
      </c>
      <c r="F941" s="2">
        <v>45731</v>
      </c>
      <c r="G941" s="2">
        <v>45731</v>
      </c>
      <c r="H941" t="s">
        <v>41</v>
      </c>
      <c r="I941" t="s">
        <v>42</v>
      </c>
      <c r="J941" s="2">
        <v>45733</v>
      </c>
      <c r="K941" s="2">
        <v>45733</v>
      </c>
      <c r="L941" t="s">
        <v>26</v>
      </c>
      <c r="M941" t="s">
        <v>57</v>
      </c>
      <c r="O941" t="s">
        <v>28</v>
      </c>
      <c r="Q941">
        <f t="shared" si="56"/>
        <v>1</v>
      </c>
      <c r="R941" s="3">
        <f t="shared" si="57"/>
        <v>2</v>
      </c>
      <c r="S941">
        <f t="shared" si="58"/>
        <v>0</v>
      </c>
      <c r="T941">
        <f t="shared" si="59"/>
        <v>0</v>
      </c>
    </row>
    <row r="942" spans="1:20" x14ac:dyDescent="0.25">
      <c r="A942" t="s">
        <v>1008</v>
      </c>
      <c r="B942">
        <v>941</v>
      </c>
      <c r="C942" t="s">
        <v>78</v>
      </c>
      <c r="D942" t="s">
        <v>30</v>
      </c>
      <c r="E942" t="s">
        <v>56</v>
      </c>
      <c r="F942" s="2">
        <v>45885</v>
      </c>
      <c r="G942" s="2">
        <v>45887</v>
      </c>
      <c r="H942" t="s">
        <v>31</v>
      </c>
      <c r="I942" t="s">
        <v>42</v>
      </c>
      <c r="J942" s="2">
        <v>45890</v>
      </c>
      <c r="K942" s="2">
        <v>45890</v>
      </c>
      <c r="L942" t="s">
        <v>26</v>
      </c>
      <c r="M942" t="s">
        <v>57</v>
      </c>
      <c r="O942" t="s">
        <v>28</v>
      </c>
      <c r="Q942">
        <f t="shared" si="56"/>
        <v>1</v>
      </c>
      <c r="R942" s="3">
        <f t="shared" si="57"/>
        <v>5</v>
      </c>
      <c r="S942">
        <f t="shared" si="58"/>
        <v>0</v>
      </c>
      <c r="T942">
        <f t="shared" si="59"/>
        <v>0</v>
      </c>
    </row>
    <row r="943" spans="1:20" x14ac:dyDescent="0.25">
      <c r="A943" t="s">
        <v>1009</v>
      </c>
      <c r="B943">
        <v>942</v>
      </c>
      <c r="C943" t="s">
        <v>21</v>
      </c>
      <c r="D943" t="s">
        <v>30</v>
      </c>
      <c r="E943" t="s">
        <v>53</v>
      </c>
      <c r="F943" s="2">
        <v>46005</v>
      </c>
      <c r="G943" s="2">
        <v>46005</v>
      </c>
      <c r="H943" t="s">
        <v>61</v>
      </c>
      <c r="I943" t="s">
        <v>25</v>
      </c>
      <c r="J943" s="2">
        <v>46010</v>
      </c>
      <c r="K943" s="2">
        <v>46010</v>
      </c>
      <c r="L943" t="s">
        <v>26</v>
      </c>
      <c r="M943" t="s">
        <v>57</v>
      </c>
      <c r="O943" t="s">
        <v>37</v>
      </c>
      <c r="Q943">
        <f t="shared" si="56"/>
        <v>1</v>
      </c>
      <c r="R943" s="3">
        <f t="shared" si="57"/>
        <v>5</v>
      </c>
      <c r="S943">
        <f t="shared" si="58"/>
        <v>0</v>
      </c>
      <c r="T943">
        <f t="shared" si="59"/>
        <v>0</v>
      </c>
    </row>
    <row r="944" spans="1:20" x14ac:dyDescent="0.25">
      <c r="A944" t="s">
        <v>1010</v>
      </c>
      <c r="B944">
        <v>943</v>
      </c>
      <c r="C944" t="s">
        <v>36</v>
      </c>
      <c r="D944" t="s">
        <v>39</v>
      </c>
      <c r="E944" t="s">
        <v>60</v>
      </c>
      <c r="F944" s="2">
        <v>45767</v>
      </c>
      <c r="G944" s="2">
        <v>45768</v>
      </c>
      <c r="H944" t="s">
        <v>45</v>
      </c>
      <c r="I944" t="s">
        <v>73</v>
      </c>
      <c r="J944" s="2">
        <v>45770</v>
      </c>
      <c r="K944" s="2">
        <v>45770</v>
      </c>
      <c r="L944" t="s">
        <v>26</v>
      </c>
      <c r="M944" t="s">
        <v>57</v>
      </c>
      <c r="O944" t="s">
        <v>43</v>
      </c>
      <c r="Q944">
        <f t="shared" si="56"/>
        <v>1</v>
      </c>
      <c r="R944" s="3">
        <f t="shared" si="57"/>
        <v>3</v>
      </c>
      <c r="S944">
        <f t="shared" si="58"/>
        <v>0</v>
      </c>
      <c r="T944">
        <f t="shared" si="59"/>
        <v>0</v>
      </c>
    </row>
    <row r="945" spans="1:20" x14ac:dyDescent="0.25">
      <c r="A945" t="s">
        <v>1011</v>
      </c>
      <c r="B945">
        <v>944</v>
      </c>
      <c r="C945" t="s">
        <v>51</v>
      </c>
      <c r="D945" t="s">
        <v>39</v>
      </c>
      <c r="E945" t="s">
        <v>40</v>
      </c>
      <c r="F945" s="2">
        <v>45873</v>
      </c>
      <c r="G945" s="2">
        <v>45875</v>
      </c>
      <c r="H945" t="s">
        <v>61</v>
      </c>
      <c r="I945" t="s">
        <v>25</v>
      </c>
      <c r="J945" s="2">
        <v>45877</v>
      </c>
      <c r="K945" s="2">
        <v>45877</v>
      </c>
      <c r="L945" t="s">
        <v>26</v>
      </c>
      <c r="M945" t="s">
        <v>57</v>
      </c>
      <c r="O945" t="s">
        <v>43</v>
      </c>
      <c r="Q945">
        <f t="shared" si="56"/>
        <v>1</v>
      </c>
      <c r="R945" s="3">
        <f t="shared" si="57"/>
        <v>4</v>
      </c>
      <c r="S945">
        <f t="shared" si="58"/>
        <v>0</v>
      </c>
      <c r="T945">
        <f t="shared" si="59"/>
        <v>0</v>
      </c>
    </row>
    <row r="946" spans="1:20" x14ac:dyDescent="0.25">
      <c r="A946" t="s">
        <v>1012</v>
      </c>
      <c r="B946">
        <v>945</v>
      </c>
      <c r="C946" t="s">
        <v>78</v>
      </c>
      <c r="D946" t="s">
        <v>30</v>
      </c>
      <c r="E946" t="s">
        <v>60</v>
      </c>
      <c r="F946" s="2">
        <v>45751</v>
      </c>
      <c r="G946" s="2">
        <v>45751</v>
      </c>
      <c r="H946" t="s">
        <v>41</v>
      </c>
      <c r="I946" t="s">
        <v>25</v>
      </c>
      <c r="J946" s="2">
        <v>45754</v>
      </c>
      <c r="K946" s="2">
        <v>45754</v>
      </c>
      <c r="L946" t="s">
        <v>26</v>
      </c>
      <c r="M946" t="s">
        <v>57</v>
      </c>
      <c r="O946" t="s">
        <v>81</v>
      </c>
      <c r="Q946">
        <f t="shared" si="56"/>
        <v>1</v>
      </c>
      <c r="R946" s="3">
        <f t="shared" si="57"/>
        <v>3</v>
      </c>
      <c r="S946">
        <f t="shared" si="58"/>
        <v>0</v>
      </c>
      <c r="T946">
        <f t="shared" si="59"/>
        <v>0</v>
      </c>
    </row>
    <row r="947" spans="1:20" x14ac:dyDescent="0.25">
      <c r="A947" t="s">
        <v>1013</v>
      </c>
      <c r="B947">
        <v>946</v>
      </c>
      <c r="C947" t="s">
        <v>78</v>
      </c>
      <c r="D947" t="s">
        <v>64</v>
      </c>
      <c r="E947" t="s">
        <v>40</v>
      </c>
      <c r="F947" s="2">
        <v>45944</v>
      </c>
      <c r="G947" s="2">
        <v>45944</v>
      </c>
      <c r="H947" t="s">
        <v>45</v>
      </c>
      <c r="I947" t="s">
        <v>42</v>
      </c>
      <c r="J947" s="2">
        <v>45947</v>
      </c>
      <c r="K947" s="2">
        <v>45947</v>
      </c>
      <c r="L947" t="s">
        <v>26</v>
      </c>
      <c r="M947" t="s">
        <v>27</v>
      </c>
      <c r="O947" t="s">
        <v>28</v>
      </c>
      <c r="Q947">
        <f t="shared" si="56"/>
        <v>1</v>
      </c>
      <c r="R947" s="3">
        <f t="shared" si="57"/>
        <v>3</v>
      </c>
      <c r="S947">
        <f t="shared" si="58"/>
        <v>0</v>
      </c>
      <c r="T947">
        <f t="shared" si="59"/>
        <v>0</v>
      </c>
    </row>
    <row r="948" spans="1:20" x14ac:dyDescent="0.25">
      <c r="A948" t="s">
        <v>1014</v>
      </c>
      <c r="B948">
        <v>947</v>
      </c>
      <c r="C948" t="s">
        <v>51</v>
      </c>
      <c r="D948" t="s">
        <v>52</v>
      </c>
      <c r="E948" t="s">
        <v>60</v>
      </c>
      <c r="F948" s="2">
        <v>45839</v>
      </c>
      <c r="G948" s="2">
        <v>45841</v>
      </c>
      <c r="H948" t="s">
        <v>31</v>
      </c>
      <c r="I948" t="s">
        <v>73</v>
      </c>
      <c r="J948" s="2">
        <v>45844</v>
      </c>
      <c r="K948" s="2">
        <v>45844</v>
      </c>
      <c r="L948" t="s">
        <v>26</v>
      </c>
      <c r="M948" t="s">
        <v>27</v>
      </c>
      <c r="O948" t="s">
        <v>37</v>
      </c>
      <c r="Q948">
        <f t="shared" si="56"/>
        <v>1</v>
      </c>
      <c r="R948" s="3">
        <f t="shared" si="57"/>
        <v>5</v>
      </c>
      <c r="S948">
        <f t="shared" si="58"/>
        <v>0</v>
      </c>
      <c r="T948">
        <f t="shared" si="59"/>
        <v>0</v>
      </c>
    </row>
    <row r="949" spans="1:20" x14ac:dyDescent="0.25">
      <c r="A949" t="s">
        <v>1015</v>
      </c>
      <c r="B949">
        <v>948</v>
      </c>
      <c r="C949" t="s">
        <v>36</v>
      </c>
      <c r="D949" t="s">
        <v>30</v>
      </c>
      <c r="E949" t="s">
        <v>40</v>
      </c>
      <c r="F949" s="2">
        <v>45812</v>
      </c>
      <c r="G949" s="2">
        <v>45812</v>
      </c>
      <c r="H949" t="s">
        <v>31</v>
      </c>
      <c r="I949" t="s">
        <v>85</v>
      </c>
      <c r="J949" s="2">
        <v>45815</v>
      </c>
      <c r="K949" s="2">
        <v>45815</v>
      </c>
      <c r="L949" t="s">
        <v>26</v>
      </c>
      <c r="M949" t="s">
        <v>27</v>
      </c>
      <c r="O949" t="s">
        <v>81</v>
      </c>
      <c r="P949" t="s">
        <v>71</v>
      </c>
      <c r="Q949">
        <f t="shared" si="56"/>
        <v>1</v>
      </c>
      <c r="R949" s="3">
        <f t="shared" si="57"/>
        <v>3</v>
      </c>
      <c r="S949">
        <f t="shared" si="58"/>
        <v>0</v>
      </c>
      <c r="T949">
        <f t="shared" si="59"/>
        <v>0</v>
      </c>
    </row>
    <row r="950" spans="1:20" x14ac:dyDescent="0.25">
      <c r="A950" t="s">
        <v>1016</v>
      </c>
      <c r="B950">
        <v>949</v>
      </c>
      <c r="C950" t="s">
        <v>59</v>
      </c>
      <c r="D950" t="s">
        <v>52</v>
      </c>
      <c r="E950" t="s">
        <v>60</v>
      </c>
      <c r="F950" s="2">
        <v>45910</v>
      </c>
      <c r="G950" s="2">
        <v>45912</v>
      </c>
      <c r="H950" t="s">
        <v>24</v>
      </c>
      <c r="I950" t="s">
        <v>25</v>
      </c>
      <c r="J950" s="2">
        <v>45914</v>
      </c>
      <c r="K950" s="2">
        <v>45915</v>
      </c>
      <c r="L950" t="s">
        <v>26</v>
      </c>
      <c r="M950" t="s">
        <v>27</v>
      </c>
      <c r="O950" t="s">
        <v>43</v>
      </c>
      <c r="P950" t="s">
        <v>88</v>
      </c>
      <c r="Q950">
        <f t="shared" si="56"/>
        <v>0</v>
      </c>
      <c r="R950" s="3">
        <f t="shared" si="57"/>
        <v>4</v>
      </c>
      <c r="S950">
        <f t="shared" si="58"/>
        <v>0</v>
      </c>
      <c r="T950">
        <f t="shared" si="59"/>
        <v>0</v>
      </c>
    </row>
    <row r="951" spans="1:20" x14ac:dyDescent="0.25">
      <c r="A951" t="s">
        <v>1017</v>
      </c>
      <c r="B951">
        <v>950</v>
      </c>
      <c r="C951" t="s">
        <v>78</v>
      </c>
      <c r="D951" t="s">
        <v>39</v>
      </c>
      <c r="E951" t="s">
        <v>56</v>
      </c>
      <c r="F951" s="2">
        <v>45884</v>
      </c>
      <c r="G951" s="2">
        <v>45884</v>
      </c>
      <c r="H951" t="s">
        <v>41</v>
      </c>
      <c r="I951" t="s">
        <v>73</v>
      </c>
      <c r="J951" s="2">
        <v>45888</v>
      </c>
      <c r="K951" s="2">
        <v>45888</v>
      </c>
      <c r="L951" t="s">
        <v>26</v>
      </c>
      <c r="M951" t="s">
        <v>57</v>
      </c>
      <c r="O951" t="s">
        <v>81</v>
      </c>
      <c r="P951" t="s">
        <v>76</v>
      </c>
      <c r="Q951">
        <f t="shared" si="56"/>
        <v>1</v>
      </c>
      <c r="R951" s="3">
        <f t="shared" si="57"/>
        <v>4</v>
      </c>
      <c r="S951">
        <f t="shared" si="58"/>
        <v>0</v>
      </c>
      <c r="T951">
        <f t="shared" si="59"/>
        <v>0</v>
      </c>
    </row>
    <row r="952" spans="1:20" x14ac:dyDescent="0.25">
      <c r="A952" t="s">
        <v>1018</v>
      </c>
      <c r="B952">
        <v>951</v>
      </c>
      <c r="C952" t="s">
        <v>21</v>
      </c>
      <c r="D952" t="s">
        <v>30</v>
      </c>
      <c r="E952" t="s">
        <v>40</v>
      </c>
      <c r="F952" s="2">
        <v>45754</v>
      </c>
      <c r="G952" s="2">
        <v>45755</v>
      </c>
      <c r="H952" t="s">
        <v>61</v>
      </c>
      <c r="I952" t="s">
        <v>62</v>
      </c>
      <c r="J952" s="2">
        <v>45756</v>
      </c>
      <c r="K952" s="2">
        <v>45757</v>
      </c>
      <c r="L952" t="s">
        <v>26</v>
      </c>
      <c r="M952" t="s">
        <v>27</v>
      </c>
      <c r="O952" t="s">
        <v>43</v>
      </c>
      <c r="Q952">
        <f t="shared" si="56"/>
        <v>0</v>
      </c>
      <c r="R952" s="3">
        <f t="shared" si="57"/>
        <v>2</v>
      </c>
      <c r="S952">
        <f t="shared" si="58"/>
        <v>0</v>
      </c>
      <c r="T952">
        <f t="shared" si="59"/>
        <v>0</v>
      </c>
    </row>
    <row r="953" spans="1:20" x14ac:dyDescent="0.25">
      <c r="A953" t="s">
        <v>1019</v>
      </c>
      <c r="B953">
        <v>952</v>
      </c>
      <c r="C953" t="s">
        <v>51</v>
      </c>
      <c r="D953" t="s">
        <v>64</v>
      </c>
      <c r="E953" t="s">
        <v>60</v>
      </c>
      <c r="F953" s="2">
        <v>45811</v>
      </c>
      <c r="G953" s="2">
        <v>45811</v>
      </c>
      <c r="H953" t="s">
        <v>24</v>
      </c>
      <c r="I953" t="s">
        <v>25</v>
      </c>
      <c r="J953" s="2">
        <v>45814</v>
      </c>
      <c r="K953" s="2">
        <v>45814</v>
      </c>
      <c r="L953" t="s">
        <v>26</v>
      </c>
      <c r="M953" t="s">
        <v>57</v>
      </c>
      <c r="O953" t="s">
        <v>37</v>
      </c>
      <c r="Q953">
        <f t="shared" si="56"/>
        <v>1</v>
      </c>
      <c r="R953" s="3">
        <f t="shared" si="57"/>
        <v>3</v>
      </c>
      <c r="S953">
        <f t="shared" si="58"/>
        <v>0</v>
      </c>
      <c r="T953">
        <f t="shared" si="59"/>
        <v>0</v>
      </c>
    </row>
    <row r="954" spans="1:20" x14ac:dyDescent="0.25">
      <c r="A954" t="s">
        <v>1020</v>
      </c>
      <c r="B954">
        <v>953</v>
      </c>
      <c r="C954" t="s">
        <v>51</v>
      </c>
      <c r="D954" t="s">
        <v>52</v>
      </c>
      <c r="E954" t="s">
        <v>53</v>
      </c>
      <c r="F954" s="2">
        <v>45994</v>
      </c>
      <c r="G954" s="2">
        <v>45994</v>
      </c>
      <c r="H954" t="s">
        <v>31</v>
      </c>
      <c r="I954" t="s">
        <v>25</v>
      </c>
      <c r="J954" s="2">
        <v>45997</v>
      </c>
      <c r="K954" s="2">
        <v>45998</v>
      </c>
      <c r="L954" t="s">
        <v>46</v>
      </c>
      <c r="M954" t="s">
        <v>57</v>
      </c>
      <c r="O954" t="s">
        <v>37</v>
      </c>
      <c r="P954" t="s">
        <v>88</v>
      </c>
      <c r="Q954">
        <f t="shared" si="56"/>
        <v>0</v>
      </c>
      <c r="R954" s="3">
        <f t="shared" si="57"/>
        <v>3</v>
      </c>
      <c r="S954">
        <f t="shared" si="58"/>
        <v>0</v>
      </c>
      <c r="T954">
        <f t="shared" si="59"/>
        <v>1</v>
      </c>
    </row>
    <row r="955" spans="1:20" x14ac:dyDescent="0.25">
      <c r="A955" t="s">
        <v>1021</v>
      </c>
      <c r="B955">
        <v>954</v>
      </c>
      <c r="C955" t="s">
        <v>51</v>
      </c>
      <c r="D955" t="s">
        <v>64</v>
      </c>
      <c r="E955" t="s">
        <v>53</v>
      </c>
      <c r="F955" s="2">
        <v>45989</v>
      </c>
      <c r="G955" s="2">
        <v>45991</v>
      </c>
      <c r="H955" t="s">
        <v>61</v>
      </c>
      <c r="I955" t="s">
        <v>85</v>
      </c>
      <c r="J955" s="2">
        <v>45996</v>
      </c>
      <c r="K955" s="2">
        <v>45996</v>
      </c>
      <c r="L955" t="s">
        <v>46</v>
      </c>
      <c r="M955" t="s">
        <v>27</v>
      </c>
      <c r="O955" t="s">
        <v>34</v>
      </c>
      <c r="P955" t="s">
        <v>88</v>
      </c>
      <c r="Q955">
        <f t="shared" si="56"/>
        <v>1</v>
      </c>
      <c r="R955" s="3">
        <f t="shared" si="57"/>
        <v>7</v>
      </c>
      <c r="S955">
        <f t="shared" si="58"/>
        <v>0</v>
      </c>
      <c r="T955">
        <f t="shared" si="59"/>
        <v>1</v>
      </c>
    </row>
    <row r="956" spans="1:20" x14ac:dyDescent="0.25">
      <c r="A956" t="s">
        <v>1022</v>
      </c>
      <c r="B956">
        <v>955</v>
      </c>
      <c r="C956" t="s">
        <v>51</v>
      </c>
      <c r="D956" t="s">
        <v>64</v>
      </c>
      <c r="E956" t="s">
        <v>40</v>
      </c>
      <c r="F956" s="2">
        <v>45886</v>
      </c>
      <c r="G956" s="2">
        <v>45886</v>
      </c>
      <c r="H956" t="s">
        <v>31</v>
      </c>
      <c r="I956" t="s">
        <v>85</v>
      </c>
      <c r="J956" s="2">
        <v>45887</v>
      </c>
      <c r="K956" s="2">
        <v>45887</v>
      </c>
      <c r="L956" t="s">
        <v>46</v>
      </c>
      <c r="M956" t="s">
        <v>57</v>
      </c>
      <c r="O956" t="s">
        <v>37</v>
      </c>
      <c r="P956" t="s">
        <v>76</v>
      </c>
      <c r="Q956">
        <f t="shared" si="56"/>
        <v>1</v>
      </c>
      <c r="R956" s="3">
        <f t="shared" si="57"/>
        <v>1</v>
      </c>
      <c r="S956">
        <f t="shared" si="58"/>
        <v>0</v>
      </c>
      <c r="T956">
        <f t="shared" si="59"/>
        <v>1</v>
      </c>
    </row>
    <row r="957" spans="1:20" x14ac:dyDescent="0.25">
      <c r="A957" t="s">
        <v>1023</v>
      </c>
      <c r="B957">
        <v>956</v>
      </c>
      <c r="C957" t="s">
        <v>51</v>
      </c>
      <c r="D957" t="s">
        <v>52</v>
      </c>
      <c r="E957" t="s">
        <v>40</v>
      </c>
      <c r="F957" s="2">
        <v>45902</v>
      </c>
      <c r="G957" s="2">
        <v>45902</v>
      </c>
      <c r="H957" t="s">
        <v>61</v>
      </c>
      <c r="I957" t="s">
        <v>83</v>
      </c>
      <c r="J957" s="2">
        <v>45905</v>
      </c>
      <c r="K957" s="2">
        <v>45905</v>
      </c>
      <c r="L957" t="s">
        <v>26</v>
      </c>
      <c r="M957" t="s">
        <v>27</v>
      </c>
      <c r="O957" t="s">
        <v>81</v>
      </c>
      <c r="Q957">
        <f t="shared" si="56"/>
        <v>1</v>
      </c>
      <c r="R957" s="3">
        <f t="shared" si="57"/>
        <v>3</v>
      </c>
      <c r="S957">
        <f t="shared" si="58"/>
        <v>0</v>
      </c>
      <c r="T957">
        <f t="shared" si="59"/>
        <v>0</v>
      </c>
    </row>
    <row r="958" spans="1:20" x14ac:dyDescent="0.25">
      <c r="A958" t="s">
        <v>1024</v>
      </c>
      <c r="B958">
        <v>957</v>
      </c>
      <c r="C958" t="s">
        <v>51</v>
      </c>
      <c r="D958" t="s">
        <v>39</v>
      </c>
      <c r="E958" t="s">
        <v>56</v>
      </c>
      <c r="F958" s="2">
        <v>45722</v>
      </c>
      <c r="G958" s="2">
        <v>45722</v>
      </c>
      <c r="H958" t="s">
        <v>45</v>
      </c>
      <c r="I958" t="s">
        <v>85</v>
      </c>
      <c r="J958" s="2">
        <v>45726</v>
      </c>
      <c r="K958" s="2">
        <v>45726</v>
      </c>
      <c r="L958" t="s">
        <v>26</v>
      </c>
      <c r="M958" t="s">
        <v>57</v>
      </c>
      <c r="O958" t="s">
        <v>34</v>
      </c>
      <c r="Q958">
        <f t="shared" si="56"/>
        <v>1</v>
      </c>
      <c r="R958" s="3">
        <f t="shared" si="57"/>
        <v>4</v>
      </c>
      <c r="S958">
        <f t="shared" si="58"/>
        <v>0</v>
      </c>
      <c r="T958">
        <f t="shared" si="59"/>
        <v>0</v>
      </c>
    </row>
    <row r="959" spans="1:20" x14ac:dyDescent="0.25">
      <c r="A959" t="s">
        <v>1025</v>
      </c>
      <c r="B959">
        <v>958</v>
      </c>
      <c r="C959" t="s">
        <v>36</v>
      </c>
      <c r="D959" t="s">
        <v>39</v>
      </c>
      <c r="E959" t="s">
        <v>60</v>
      </c>
      <c r="F959" s="2">
        <v>45810</v>
      </c>
      <c r="G959" s="2">
        <v>45812</v>
      </c>
      <c r="H959" t="s">
        <v>41</v>
      </c>
      <c r="I959" t="s">
        <v>83</v>
      </c>
      <c r="J959" s="2">
        <v>45814</v>
      </c>
      <c r="K959" s="2">
        <v>45814</v>
      </c>
      <c r="L959" t="s">
        <v>26</v>
      </c>
      <c r="M959" t="s">
        <v>57</v>
      </c>
      <c r="O959" t="s">
        <v>34</v>
      </c>
      <c r="Q959">
        <f t="shared" si="56"/>
        <v>1</v>
      </c>
      <c r="R959" s="3">
        <f t="shared" si="57"/>
        <v>4</v>
      </c>
      <c r="S959">
        <f t="shared" si="58"/>
        <v>0</v>
      </c>
      <c r="T959">
        <f t="shared" si="59"/>
        <v>0</v>
      </c>
    </row>
    <row r="960" spans="1:20" x14ac:dyDescent="0.25">
      <c r="A960" t="s">
        <v>1026</v>
      </c>
      <c r="B960">
        <v>959</v>
      </c>
      <c r="C960" t="s">
        <v>59</v>
      </c>
      <c r="D960" t="s">
        <v>39</v>
      </c>
      <c r="E960" t="s">
        <v>56</v>
      </c>
      <c r="F960" s="2">
        <v>46002</v>
      </c>
      <c r="G960" s="2">
        <v>46004</v>
      </c>
      <c r="H960" t="s">
        <v>61</v>
      </c>
      <c r="I960" t="s">
        <v>83</v>
      </c>
      <c r="J960" s="2">
        <v>46007</v>
      </c>
      <c r="K960" s="2">
        <v>46007</v>
      </c>
      <c r="L960" t="s">
        <v>26</v>
      </c>
      <c r="M960" t="s">
        <v>57</v>
      </c>
      <c r="O960" t="s">
        <v>37</v>
      </c>
      <c r="P960" t="s">
        <v>71</v>
      </c>
      <c r="Q960">
        <f t="shared" si="56"/>
        <v>1</v>
      </c>
      <c r="R960" s="3">
        <f t="shared" si="57"/>
        <v>5</v>
      </c>
      <c r="S960">
        <f t="shared" si="58"/>
        <v>0</v>
      </c>
      <c r="T960">
        <f t="shared" si="59"/>
        <v>0</v>
      </c>
    </row>
    <row r="961" spans="1:20" x14ac:dyDescent="0.25">
      <c r="A961" t="s">
        <v>1027</v>
      </c>
      <c r="B961">
        <v>960</v>
      </c>
      <c r="C961" t="s">
        <v>21</v>
      </c>
      <c r="D961" t="s">
        <v>30</v>
      </c>
      <c r="E961" t="s">
        <v>56</v>
      </c>
      <c r="F961" s="2">
        <v>45738</v>
      </c>
      <c r="G961" s="2">
        <v>45740</v>
      </c>
      <c r="H961" t="s">
        <v>61</v>
      </c>
      <c r="I961" t="s">
        <v>54</v>
      </c>
      <c r="J961" s="2">
        <v>45744</v>
      </c>
      <c r="K961" s="2">
        <v>45744</v>
      </c>
      <c r="L961" t="s">
        <v>26</v>
      </c>
      <c r="M961" t="s">
        <v>27</v>
      </c>
      <c r="O961" t="s">
        <v>34</v>
      </c>
      <c r="Q961">
        <f t="shared" si="56"/>
        <v>1</v>
      </c>
      <c r="R961" s="3">
        <f t="shared" si="57"/>
        <v>6</v>
      </c>
      <c r="S961">
        <f t="shared" si="58"/>
        <v>0</v>
      </c>
      <c r="T961">
        <f t="shared" si="59"/>
        <v>0</v>
      </c>
    </row>
    <row r="962" spans="1:20" x14ac:dyDescent="0.25">
      <c r="A962" t="s">
        <v>1028</v>
      </c>
      <c r="B962">
        <v>961</v>
      </c>
      <c r="C962" t="s">
        <v>36</v>
      </c>
      <c r="D962" t="s">
        <v>30</v>
      </c>
      <c r="E962" t="s">
        <v>60</v>
      </c>
      <c r="F962" s="2">
        <v>45996</v>
      </c>
      <c r="G962" s="2">
        <v>45997</v>
      </c>
      <c r="H962" t="s">
        <v>45</v>
      </c>
      <c r="I962" t="s">
        <v>54</v>
      </c>
      <c r="J962" s="2">
        <v>45998</v>
      </c>
      <c r="K962" s="2">
        <v>46000</v>
      </c>
      <c r="L962" t="s">
        <v>46</v>
      </c>
      <c r="M962" t="s">
        <v>32</v>
      </c>
      <c r="N962" t="s">
        <v>75</v>
      </c>
      <c r="O962" t="s">
        <v>81</v>
      </c>
      <c r="Q962">
        <f t="shared" si="56"/>
        <v>0</v>
      </c>
      <c r="R962" s="3">
        <f t="shared" si="57"/>
        <v>2</v>
      </c>
      <c r="S962">
        <f t="shared" si="58"/>
        <v>1</v>
      </c>
      <c r="T962">
        <f t="shared" si="59"/>
        <v>1</v>
      </c>
    </row>
    <row r="963" spans="1:20" x14ac:dyDescent="0.25">
      <c r="A963" t="s">
        <v>1029</v>
      </c>
      <c r="B963">
        <v>962</v>
      </c>
      <c r="C963" t="s">
        <v>36</v>
      </c>
      <c r="D963" t="s">
        <v>64</v>
      </c>
      <c r="E963" t="s">
        <v>53</v>
      </c>
      <c r="F963" s="2">
        <v>45977</v>
      </c>
      <c r="G963" s="2">
        <v>45977</v>
      </c>
      <c r="H963" t="s">
        <v>41</v>
      </c>
      <c r="I963" t="s">
        <v>42</v>
      </c>
      <c r="J963" s="2">
        <v>45979</v>
      </c>
      <c r="K963" s="2">
        <v>45979</v>
      </c>
      <c r="L963" t="s">
        <v>26</v>
      </c>
      <c r="M963" t="s">
        <v>57</v>
      </c>
      <c r="O963" t="s">
        <v>28</v>
      </c>
      <c r="Q963">
        <f t="shared" ref="Q963:Q1026" si="60">IF(K963&lt;=J963,1,0)</f>
        <v>1</v>
      </c>
      <c r="R963" s="3">
        <f t="shared" ref="R963:R1026" si="61">(J963-F963)</f>
        <v>2</v>
      </c>
      <c r="S963">
        <f t="shared" ref="S963:S1026" si="62">IF(M963="Delayed",1,0)</f>
        <v>0</v>
      </c>
      <c r="T963">
        <f t="shared" ref="T963:T1026" si="63">IF(L963="n",1,0)</f>
        <v>0</v>
      </c>
    </row>
    <row r="964" spans="1:20" x14ac:dyDescent="0.25">
      <c r="A964" t="s">
        <v>1030</v>
      </c>
      <c r="B964">
        <v>963</v>
      </c>
      <c r="C964" t="s">
        <v>59</v>
      </c>
      <c r="D964" t="s">
        <v>30</v>
      </c>
      <c r="E964" t="s">
        <v>60</v>
      </c>
      <c r="F964" s="2">
        <v>45941</v>
      </c>
      <c r="G964" s="2">
        <v>45942</v>
      </c>
      <c r="H964" t="s">
        <v>45</v>
      </c>
      <c r="I964" t="s">
        <v>25</v>
      </c>
      <c r="J964" s="2">
        <v>45943</v>
      </c>
      <c r="K964" s="2">
        <v>45946</v>
      </c>
      <c r="L964" t="s">
        <v>26</v>
      </c>
      <c r="M964" t="s">
        <v>32</v>
      </c>
      <c r="N964" t="s">
        <v>47</v>
      </c>
      <c r="O964" t="s">
        <v>28</v>
      </c>
      <c r="Q964">
        <f t="shared" si="60"/>
        <v>0</v>
      </c>
      <c r="R964" s="3">
        <f t="shared" si="61"/>
        <v>2</v>
      </c>
      <c r="S964">
        <f t="shared" si="62"/>
        <v>1</v>
      </c>
      <c r="T964">
        <f t="shared" si="63"/>
        <v>0</v>
      </c>
    </row>
    <row r="965" spans="1:20" x14ac:dyDescent="0.25">
      <c r="A965" t="s">
        <v>1031</v>
      </c>
      <c r="B965">
        <v>964</v>
      </c>
      <c r="C965" t="s">
        <v>36</v>
      </c>
      <c r="D965" t="s">
        <v>52</v>
      </c>
      <c r="E965" t="s">
        <v>60</v>
      </c>
      <c r="F965" s="2">
        <v>45820</v>
      </c>
      <c r="G965" s="2">
        <v>45822</v>
      </c>
      <c r="H965" t="s">
        <v>61</v>
      </c>
      <c r="I965" t="s">
        <v>54</v>
      </c>
      <c r="J965" s="2">
        <v>45824</v>
      </c>
      <c r="K965" s="2">
        <v>45824</v>
      </c>
      <c r="L965" t="s">
        <v>26</v>
      </c>
      <c r="M965" t="s">
        <v>27</v>
      </c>
      <c r="O965" t="s">
        <v>43</v>
      </c>
      <c r="Q965">
        <f t="shared" si="60"/>
        <v>1</v>
      </c>
      <c r="R965" s="3">
        <f t="shared" si="61"/>
        <v>4</v>
      </c>
      <c r="S965">
        <f t="shared" si="62"/>
        <v>0</v>
      </c>
      <c r="T965">
        <f t="shared" si="63"/>
        <v>0</v>
      </c>
    </row>
    <row r="966" spans="1:20" x14ac:dyDescent="0.25">
      <c r="A966" t="s">
        <v>1032</v>
      </c>
      <c r="B966">
        <v>965</v>
      </c>
      <c r="C966" t="s">
        <v>59</v>
      </c>
      <c r="D966" t="s">
        <v>30</v>
      </c>
      <c r="E966" t="s">
        <v>23</v>
      </c>
      <c r="F966" s="2">
        <v>45707</v>
      </c>
      <c r="G966" s="2">
        <v>45708</v>
      </c>
      <c r="H966" t="s">
        <v>61</v>
      </c>
      <c r="I966" t="s">
        <v>85</v>
      </c>
      <c r="J966" s="2">
        <v>45710</v>
      </c>
      <c r="K966" s="2">
        <v>45710</v>
      </c>
      <c r="L966" t="s">
        <v>26</v>
      </c>
      <c r="M966" t="s">
        <v>27</v>
      </c>
      <c r="O966" t="s">
        <v>37</v>
      </c>
      <c r="Q966">
        <f t="shared" si="60"/>
        <v>1</v>
      </c>
      <c r="R966" s="3">
        <f t="shared" si="61"/>
        <v>3</v>
      </c>
      <c r="S966">
        <f t="shared" si="62"/>
        <v>0</v>
      </c>
      <c r="T966">
        <f t="shared" si="63"/>
        <v>0</v>
      </c>
    </row>
    <row r="967" spans="1:20" x14ac:dyDescent="0.25">
      <c r="A967" t="s">
        <v>1033</v>
      </c>
      <c r="B967">
        <v>966</v>
      </c>
      <c r="C967" t="s">
        <v>21</v>
      </c>
      <c r="D967" t="s">
        <v>52</v>
      </c>
      <c r="E967" t="s">
        <v>53</v>
      </c>
      <c r="F967" s="2">
        <v>45787</v>
      </c>
      <c r="G967" s="2">
        <v>45788</v>
      </c>
      <c r="H967" t="s">
        <v>31</v>
      </c>
      <c r="I967" t="s">
        <v>42</v>
      </c>
      <c r="J967" s="2">
        <v>45790</v>
      </c>
      <c r="K967" s="2">
        <v>45790</v>
      </c>
      <c r="L967" t="s">
        <v>26</v>
      </c>
      <c r="M967" t="s">
        <v>57</v>
      </c>
      <c r="O967" t="s">
        <v>28</v>
      </c>
      <c r="P967" t="s">
        <v>76</v>
      </c>
      <c r="Q967">
        <f t="shared" si="60"/>
        <v>1</v>
      </c>
      <c r="R967" s="3">
        <f t="shared" si="61"/>
        <v>3</v>
      </c>
      <c r="S967">
        <f t="shared" si="62"/>
        <v>0</v>
      </c>
      <c r="T967">
        <f t="shared" si="63"/>
        <v>0</v>
      </c>
    </row>
    <row r="968" spans="1:20" x14ac:dyDescent="0.25">
      <c r="A968" t="s">
        <v>1034</v>
      </c>
      <c r="B968">
        <v>967</v>
      </c>
      <c r="C968" t="s">
        <v>51</v>
      </c>
      <c r="D968" t="s">
        <v>52</v>
      </c>
      <c r="E968" t="s">
        <v>56</v>
      </c>
      <c r="F968" s="2">
        <v>45932</v>
      </c>
      <c r="G968" s="2">
        <v>45934</v>
      </c>
      <c r="H968" t="s">
        <v>24</v>
      </c>
      <c r="I968" t="s">
        <v>73</v>
      </c>
      <c r="J968" s="2">
        <v>45936</v>
      </c>
      <c r="K968" s="2">
        <v>45938</v>
      </c>
      <c r="L968" t="s">
        <v>26</v>
      </c>
      <c r="M968" t="s">
        <v>32</v>
      </c>
      <c r="N968" t="s">
        <v>49</v>
      </c>
      <c r="O968" t="s">
        <v>34</v>
      </c>
      <c r="Q968">
        <f t="shared" si="60"/>
        <v>0</v>
      </c>
      <c r="R968" s="3">
        <f t="shared" si="61"/>
        <v>4</v>
      </c>
      <c r="S968">
        <f t="shared" si="62"/>
        <v>1</v>
      </c>
      <c r="T968">
        <f t="shared" si="63"/>
        <v>0</v>
      </c>
    </row>
    <row r="969" spans="1:20" x14ac:dyDescent="0.25">
      <c r="A969" t="s">
        <v>1035</v>
      </c>
      <c r="B969">
        <v>968</v>
      </c>
      <c r="C969" t="s">
        <v>21</v>
      </c>
      <c r="D969" t="s">
        <v>30</v>
      </c>
      <c r="E969" t="s">
        <v>23</v>
      </c>
      <c r="F969" s="2">
        <v>45809</v>
      </c>
      <c r="G969" s="2">
        <v>45811</v>
      </c>
      <c r="H969" t="s">
        <v>61</v>
      </c>
      <c r="I969" t="s">
        <v>25</v>
      </c>
      <c r="J969" s="2">
        <v>45813</v>
      </c>
      <c r="K969" s="2">
        <v>45813</v>
      </c>
      <c r="L969" t="s">
        <v>26</v>
      </c>
      <c r="M969" t="s">
        <v>27</v>
      </c>
      <c r="O969" t="s">
        <v>37</v>
      </c>
      <c r="P969" t="s">
        <v>88</v>
      </c>
      <c r="Q969">
        <f t="shared" si="60"/>
        <v>1</v>
      </c>
      <c r="R969" s="3">
        <f t="shared" si="61"/>
        <v>4</v>
      </c>
      <c r="S969">
        <f t="shared" si="62"/>
        <v>0</v>
      </c>
      <c r="T969">
        <f t="shared" si="63"/>
        <v>0</v>
      </c>
    </row>
    <row r="970" spans="1:20" x14ac:dyDescent="0.25">
      <c r="A970" t="s">
        <v>1036</v>
      </c>
      <c r="B970">
        <v>969</v>
      </c>
      <c r="C970" t="s">
        <v>78</v>
      </c>
      <c r="D970" t="s">
        <v>64</v>
      </c>
      <c r="E970" t="s">
        <v>40</v>
      </c>
      <c r="F970" s="2">
        <v>45975</v>
      </c>
      <c r="G970" s="2">
        <v>45976</v>
      </c>
      <c r="H970" t="s">
        <v>45</v>
      </c>
      <c r="I970" t="s">
        <v>62</v>
      </c>
      <c r="J970" s="2">
        <v>45980</v>
      </c>
      <c r="K970" s="2">
        <v>45980</v>
      </c>
      <c r="L970" t="s">
        <v>26</v>
      </c>
      <c r="M970" t="s">
        <v>57</v>
      </c>
      <c r="O970" t="s">
        <v>69</v>
      </c>
      <c r="Q970">
        <f t="shared" si="60"/>
        <v>1</v>
      </c>
      <c r="R970" s="3">
        <f t="shared" si="61"/>
        <v>5</v>
      </c>
      <c r="S970">
        <f t="shared" si="62"/>
        <v>0</v>
      </c>
      <c r="T970">
        <f t="shared" si="63"/>
        <v>0</v>
      </c>
    </row>
    <row r="971" spans="1:20" x14ac:dyDescent="0.25">
      <c r="A971" t="s">
        <v>1037</v>
      </c>
      <c r="B971">
        <v>970</v>
      </c>
      <c r="C971" t="s">
        <v>51</v>
      </c>
      <c r="D971" t="s">
        <v>39</v>
      </c>
      <c r="E971" t="s">
        <v>53</v>
      </c>
      <c r="F971" s="2">
        <v>45753</v>
      </c>
      <c r="G971" s="2">
        <v>45754</v>
      </c>
      <c r="H971" t="s">
        <v>41</v>
      </c>
      <c r="I971" t="s">
        <v>54</v>
      </c>
      <c r="J971" s="2">
        <v>45755</v>
      </c>
      <c r="K971" s="2">
        <v>45755</v>
      </c>
      <c r="L971" t="s">
        <v>26</v>
      </c>
      <c r="M971" t="s">
        <v>57</v>
      </c>
      <c r="O971" t="s">
        <v>28</v>
      </c>
      <c r="Q971">
        <f t="shared" si="60"/>
        <v>1</v>
      </c>
      <c r="R971" s="3">
        <f t="shared" si="61"/>
        <v>2</v>
      </c>
      <c r="S971">
        <f t="shared" si="62"/>
        <v>0</v>
      </c>
      <c r="T971">
        <f t="shared" si="63"/>
        <v>0</v>
      </c>
    </row>
    <row r="972" spans="1:20" x14ac:dyDescent="0.25">
      <c r="A972" t="s">
        <v>1038</v>
      </c>
      <c r="B972">
        <v>971</v>
      </c>
      <c r="C972" t="s">
        <v>36</v>
      </c>
      <c r="D972" t="s">
        <v>22</v>
      </c>
      <c r="E972" t="s">
        <v>60</v>
      </c>
      <c r="F972" s="2">
        <v>45971</v>
      </c>
      <c r="G972" s="2">
        <v>45973</v>
      </c>
      <c r="H972" t="s">
        <v>24</v>
      </c>
      <c r="I972" t="s">
        <v>83</v>
      </c>
      <c r="J972" s="2">
        <v>45974</v>
      </c>
      <c r="K972" s="2">
        <v>45974</v>
      </c>
      <c r="L972" t="s">
        <v>26</v>
      </c>
      <c r="M972" t="s">
        <v>57</v>
      </c>
      <c r="O972" t="s">
        <v>69</v>
      </c>
      <c r="P972" t="s">
        <v>88</v>
      </c>
      <c r="Q972">
        <f t="shared" si="60"/>
        <v>1</v>
      </c>
      <c r="R972" s="3">
        <f t="shared" si="61"/>
        <v>3</v>
      </c>
      <c r="S972">
        <f t="shared" si="62"/>
        <v>0</v>
      </c>
      <c r="T972">
        <f t="shared" si="63"/>
        <v>0</v>
      </c>
    </row>
    <row r="973" spans="1:20" x14ac:dyDescent="0.25">
      <c r="A973" t="s">
        <v>1039</v>
      </c>
      <c r="B973">
        <v>972</v>
      </c>
      <c r="C973" t="s">
        <v>59</v>
      </c>
      <c r="D973" t="s">
        <v>30</v>
      </c>
      <c r="E973" t="s">
        <v>23</v>
      </c>
      <c r="F973" s="2">
        <v>45980</v>
      </c>
      <c r="G973" s="2">
        <v>45980</v>
      </c>
      <c r="H973" t="s">
        <v>31</v>
      </c>
      <c r="I973" t="s">
        <v>54</v>
      </c>
      <c r="J973" s="2">
        <v>45982</v>
      </c>
      <c r="K973" s="2">
        <v>45985</v>
      </c>
      <c r="L973" t="s">
        <v>26</v>
      </c>
      <c r="M973" t="s">
        <v>32</v>
      </c>
      <c r="N973" t="s">
        <v>67</v>
      </c>
      <c r="O973" t="s">
        <v>81</v>
      </c>
      <c r="Q973">
        <f t="shared" si="60"/>
        <v>0</v>
      </c>
      <c r="R973" s="3">
        <f t="shared" si="61"/>
        <v>2</v>
      </c>
      <c r="S973">
        <f t="shared" si="62"/>
        <v>1</v>
      </c>
      <c r="T973">
        <f t="shared" si="63"/>
        <v>0</v>
      </c>
    </row>
    <row r="974" spans="1:20" x14ac:dyDescent="0.25">
      <c r="A974" t="s">
        <v>1040</v>
      </c>
      <c r="B974">
        <v>973</v>
      </c>
      <c r="C974" t="s">
        <v>21</v>
      </c>
      <c r="D974" t="s">
        <v>22</v>
      </c>
      <c r="E974" t="s">
        <v>23</v>
      </c>
      <c r="F974" s="2">
        <v>45931</v>
      </c>
      <c r="G974" s="2">
        <v>45933</v>
      </c>
      <c r="H974" t="s">
        <v>24</v>
      </c>
      <c r="I974" t="s">
        <v>62</v>
      </c>
      <c r="J974" s="2">
        <v>45935</v>
      </c>
      <c r="K974" s="2">
        <v>45935</v>
      </c>
      <c r="L974" t="s">
        <v>26</v>
      </c>
      <c r="M974" t="s">
        <v>27</v>
      </c>
      <c r="O974" t="s">
        <v>34</v>
      </c>
      <c r="Q974">
        <f t="shared" si="60"/>
        <v>1</v>
      </c>
      <c r="R974" s="3">
        <f t="shared" si="61"/>
        <v>4</v>
      </c>
      <c r="S974">
        <f t="shared" si="62"/>
        <v>0</v>
      </c>
      <c r="T974">
        <f t="shared" si="63"/>
        <v>0</v>
      </c>
    </row>
    <row r="975" spans="1:20" x14ac:dyDescent="0.25">
      <c r="A975" t="s">
        <v>1041</v>
      </c>
      <c r="B975">
        <v>974</v>
      </c>
      <c r="C975" t="s">
        <v>78</v>
      </c>
      <c r="D975" t="s">
        <v>52</v>
      </c>
      <c r="E975" t="s">
        <v>56</v>
      </c>
      <c r="F975" s="2">
        <v>45750</v>
      </c>
      <c r="G975" s="2">
        <v>45752</v>
      </c>
      <c r="H975" t="s">
        <v>31</v>
      </c>
      <c r="I975" t="s">
        <v>42</v>
      </c>
      <c r="J975" s="2">
        <v>45758</v>
      </c>
      <c r="K975" s="2">
        <v>45759</v>
      </c>
      <c r="L975" t="s">
        <v>46</v>
      </c>
      <c r="M975" t="s">
        <v>27</v>
      </c>
      <c r="O975" t="s">
        <v>69</v>
      </c>
      <c r="Q975">
        <f t="shared" si="60"/>
        <v>0</v>
      </c>
      <c r="R975" s="3">
        <f t="shared" si="61"/>
        <v>8</v>
      </c>
      <c r="S975">
        <f t="shared" si="62"/>
        <v>0</v>
      </c>
      <c r="T975">
        <f t="shared" si="63"/>
        <v>1</v>
      </c>
    </row>
    <row r="976" spans="1:20" x14ac:dyDescent="0.25">
      <c r="A976" t="s">
        <v>1042</v>
      </c>
      <c r="B976">
        <v>975</v>
      </c>
      <c r="C976" t="s">
        <v>21</v>
      </c>
      <c r="D976" t="s">
        <v>30</v>
      </c>
      <c r="E976" t="s">
        <v>53</v>
      </c>
      <c r="F976" s="2">
        <v>45751</v>
      </c>
      <c r="G976" s="2">
        <v>45753</v>
      </c>
      <c r="H976" t="s">
        <v>61</v>
      </c>
      <c r="I976" t="s">
        <v>73</v>
      </c>
      <c r="J976" s="2">
        <v>45757</v>
      </c>
      <c r="K976" s="2">
        <v>45759</v>
      </c>
      <c r="L976" t="s">
        <v>26</v>
      </c>
      <c r="M976" t="s">
        <v>32</v>
      </c>
      <c r="N976" t="s">
        <v>47</v>
      </c>
      <c r="O976" t="s">
        <v>43</v>
      </c>
      <c r="Q976">
        <f t="shared" si="60"/>
        <v>0</v>
      </c>
      <c r="R976" s="3">
        <f t="shared" si="61"/>
        <v>6</v>
      </c>
      <c r="S976">
        <f t="shared" si="62"/>
        <v>1</v>
      </c>
      <c r="T976">
        <f t="shared" si="63"/>
        <v>0</v>
      </c>
    </row>
    <row r="977" spans="1:20" x14ac:dyDescent="0.25">
      <c r="A977" t="s">
        <v>1043</v>
      </c>
      <c r="B977">
        <v>976</v>
      </c>
      <c r="C977" t="s">
        <v>36</v>
      </c>
      <c r="D977" t="s">
        <v>22</v>
      </c>
      <c r="E977" t="s">
        <v>40</v>
      </c>
      <c r="F977" s="2">
        <v>45660</v>
      </c>
      <c r="G977" s="2">
        <v>45660</v>
      </c>
      <c r="H977" t="s">
        <v>45</v>
      </c>
      <c r="I977" t="s">
        <v>73</v>
      </c>
      <c r="J977" s="2">
        <v>45662</v>
      </c>
      <c r="K977" s="2">
        <v>45663</v>
      </c>
      <c r="L977" t="s">
        <v>26</v>
      </c>
      <c r="M977" t="s">
        <v>32</v>
      </c>
      <c r="N977" t="s">
        <v>264</v>
      </c>
      <c r="O977" t="s">
        <v>37</v>
      </c>
      <c r="Q977">
        <f t="shared" si="60"/>
        <v>0</v>
      </c>
      <c r="R977" s="3">
        <f t="shared" si="61"/>
        <v>2</v>
      </c>
      <c r="S977">
        <f t="shared" si="62"/>
        <v>1</v>
      </c>
      <c r="T977">
        <f t="shared" si="63"/>
        <v>0</v>
      </c>
    </row>
    <row r="978" spans="1:20" x14ac:dyDescent="0.25">
      <c r="A978" t="s">
        <v>1044</v>
      </c>
      <c r="B978">
        <v>977</v>
      </c>
      <c r="C978" t="s">
        <v>78</v>
      </c>
      <c r="D978" t="s">
        <v>39</v>
      </c>
      <c r="E978" t="s">
        <v>56</v>
      </c>
      <c r="F978" s="2">
        <v>45679</v>
      </c>
      <c r="G978" s="2">
        <v>45679</v>
      </c>
      <c r="H978" t="s">
        <v>45</v>
      </c>
      <c r="I978" t="s">
        <v>42</v>
      </c>
      <c r="J978" s="2">
        <v>45681</v>
      </c>
      <c r="K978" s="2">
        <v>45682</v>
      </c>
      <c r="L978" t="s">
        <v>26</v>
      </c>
      <c r="M978" t="s">
        <v>32</v>
      </c>
      <c r="N978" t="s">
        <v>264</v>
      </c>
      <c r="O978" t="s">
        <v>81</v>
      </c>
      <c r="Q978">
        <f t="shared" si="60"/>
        <v>0</v>
      </c>
      <c r="R978" s="3">
        <f t="shared" si="61"/>
        <v>2</v>
      </c>
      <c r="S978">
        <f t="shared" si="62"/>
        <v>1</v>
      </c>
      <c r="T978">
        <f t="shared" si="63"/>
        <v>0</v>
      </c>
    </row>
    <row r="979" spans="1:20" x14ac:dyDescent="0.25">
      <c r="A979" t="s">
        <v>1045</v>
      </c>
      <c r="B979">
        <v>978</v>
      </c>
      <c r="C979" t="s">
        <v>36</v>
      </c>
      <c r="D979" t="s">
        <v>22</v>
      </c>
      <c r="E979" t="s">
        <v>56</v>
      </c>
      <c r="F979" s="2">
        <v>45951</v>
      </c>
      <c r="G979" s="2">
        <v>45951</v>
      </c>
      <c r="H979" t="s">
        <v>61</v>
      </c>
      <c r="I979" t="s">
        <v>73</v>
      </c>
      <c r="J979" s="2">
        <v>45953</v>
      </c>
      <c r="K979" s="2">
        <v>45953</v>
      </c>
      <c r="L979" t="s">
        <v>26</v>
      </c>
      <c r="M979" t="s">
        <v>27</v>
      </c>
      <c r="O979" t="s">
        <v>28</v>
      </c>
      <c r="Q979">
        <f t="shared" si="60"/>
        <v>1</v>
      </c>
      <c r="R979" s="3">
        <f t="shared" si="61"/>
        <v>2</v>
      </c>
      <c r="S979">
        <f t="shared" si="62"/>
        <v>0</v>
      </c>
      <c r="T979">
        <f t="shared" si="63"/>
        <v>0</v>
      </c>
    </row>
    <row r="980" spans="1:20" x14ac:dyDescent="0.25">
      <c r="A980" t="s">
        <v>1046</v>
      </c>
      <c r="B980">
        <v>979</v>
      </c>
      <c r="C980" t="s">
        <v>78</v>
      </c>
      <c r="D980" t="s">
        <v>39</v>
      </c>
      <c r="E980" t="s">
        <v>40</v>
      </c>
      <c r="F980" s="2">
        <v>45851</v>
      </c>
      <c r="G980" s="2">
        <v>45852</v>
      </c>
      <c r="H980" t="s">
        <v>24</v>
      </c>
      <c r="I980" t="s">
        <v>73</v>
      </c>
      <c r="J980" s="2">
        <v>45856</v>
      </c>
      <c r="K980" s="2">
        <v>45856</v>
      </c>
      <c r="L980" t="s">
        <v>26</v>
      </c>
      <c r="M980" t="s">
        <v>57</v>
      </c>
      <c r="O980" t="s">
        <v>37</v>
      </c>
      <c r="Q980">
        <f t="shared" si="60"/>
        <v>1</v>
      </c>
      <c r="R980" s="3">
        <f t="shared" si="61"/>
        <v>5</v>
      </c>
      <c r="S980">
        <f t="shared" si="62"/>
        <v>0</v>
      </c>
      <c r="T980">
        <f t="shared" si="63"/>
        <v>0</v>
      </c>
    </row>
    <row r="981" spans="1:20" x14ac:dyDescent="0.25">
      <c r="A981" t="s">
        <v>1047</v>
      </c>
      <c r="B981">
        <v>980</v>
      </c>
      <c r="C981" t="s">
        <v>21</v>
      </c>
      <c r="D981" t="s">
        <v>52</v>
      </c>
      <c r="E981" t="s">
        <v>23</v>
      </c>
      <c r="F981" s="2">
        <v>45953</v>
      </c>
      <c r="G981" s="2">
        <v>45954</v>
      </c>
      <c r="H981" t="s">
        <v>61</v>
      </c>
      <c r="I981" t="s">
        <v>62</v>
      </c>
      <c r="J981" s="2">
        <v>45956</v>
      </c>
      <c r="K981" s="2">
        <v>45959</v>
      </c>
      <c r="L981" t="s">
        <v>26</v>
      </c>
      <c r="M981" t="s">
        <v>32</v>
      </c>
      <c r="N981" t="s">
        <v>49</v>
      </c>
      <c r="O981" t="s">
        <v>69</v>
      </c>
      <c r="Q981">
        <f t="shared" si="60"/>
        <v>0</v>
      </c>
      <c r="R981" s="3">
        <f t="shared" si="61"/>
        <v>3</v>
      </c>
      <c r="S981">
        <f t="shared" si="62"/>
        <v>1</v>
      </c>
      <c r="T981">
        <f t="shared" si="63"/>
        <v>0</v>
      </c>
    </row>
    <row r="982" spans="1:20" x14ac:dyDescent="0.25">
      <c r="A982" t="s">
        <v>1048</v>
      </c>
      <c r="B982">
        <v>981</v>
      </c>
      <c r="C982" t="s">
        <v>51</v>
      </c>
      <c r="D982" t="s">
        <v>22</v>
      </c>
      <c r="E982" t="s">
        <v>40</v>
      </c>
      <c r="F982" s="2">
        <v>45802</v>
      </c>
      <c r="G982" s="2">
        <v>45802</v>
      </c>
      <c r="H982" t="s">
        <v>61</v>
      </c>
      <c r="I982" t="s">
        <v>25</v>
      </c>
      <c r="J982" s="2">
        <v>45804</v>
      </c>
      <c r="K982" s="2">
        <v>45804</v>
      </c>
      <c r="L982" t="s">
        <v>26</v>
      </c>
      <c r="M982" t="s">
        <v>27</v>
      </c>
      <c r="O982" t="s">
        <v>69</v>
      </c>
      <c r="Q982">
        <f t="shared" si="60"/>
        <v>1</v>
      </c>
      <c r="R982" s="3">
        <f t="shared" si="61"/>
        <v>2</v>
      </c>
      <c r="S982">
        <f t="shared" si="62"/>
        <v>0</v>
      </c>
      <c r="T982">
        <f t="shared" si="63"/>
        <v>0</v>
      </c>
    </row>
    <row r="983" spans="1:20" x14ac:dyDescent="0.25">
      <c r="A983" t="s">
        <v>1049</v>
      </c>
      <c r="B983">
        <v>982</v>
      </c>
      <c r="C983" t="s">
        <v>36</v>
      </c>
      <c r="D983" t="s">
        <v>52</v>
      </c>
      <c r="E983" t="s">
        <v>60</v>
      </c>
      <c r="F983" s="2">
        <v>45827</v>
      </c>
      <c r="G983" s="2">
        <v>45828</v>
      </c>
      <c r="H983" t="s">
        <v>45</v>
      </c>
      <c r="I983" t="s">
        <v>25</v>
      </c>
      <c r="J983" s="2">
        <v>45834</v>
      </c>
      <c r="K983" s="2">
        <v>45834</v>
      </c>
      <c r="L983" t="s">
        <v>26</v>
      </c>
      <c r="M983" t="s">
        <v>57</v>
      </c>
      <c r="O983" t="s">
        <v>37</v>
      </c>
      <c r="Q983">
        <f t="shared" si="60"/>
        <v>1</v>
      </c>
      <c r="R983" s="3">
        <f t="shared" si="61"/>
        <v>7</v>
      </c>
      <c r="S983">
        <f t="shared" si="62"/>
        <v>0</v>
      </c>
      <c r="T983">
        <f t="shared" si="63"/>
        <v>0</v>
      </c>
    </row>
    <row r="984" spans="1:20" x14ac:dyDescent="0.25">
      <c r="A984" t="s">
        <v>1050</v>
      </c>
      <c r="B984">
        <v>983</v>
      </c>
      <c r="C984" t="s">
        <v>59</v>
      </c>
      <c r="D984" t="s">
        <v>52</v>
      </c>
      <c r="E984" t="s">
        <v>56</v>
      </c>
      <c r="F984" s="2">
        <v>46018</v>
      </c>
      <c r="G984" s="2">
        <v>46018</v>
      </c>
      <c r="H984" t="s">
        <v>61</v>
      </c>
      <c r="I984" t="s">
        <v>73</v>
      </c>
      <c r="J984" s="2">
        <v>46019</v>
      </c>
      <c r="K984" s="2">
        <v>46019</v>
      </c>
      <c r="L984" t="s">
        <v>26</v>
      </c>
      <c r="M984" t="s">
        <v>27</v>
      </c>
      <c r="O984" t="s">
        <v>34</v>
      </c>
      <c r="Q984">
        <f t="shared" si="60"/>
        <v>1</v>
      </c>
      <c r="R984" s="3">
        <f t="shared" si="61"/>
        <v>1</v>
      </c>
      <c r="S984">
        <f t="shared" si="62"/>
        <v>0</v>
      </c>
      <c r="T984">
        <f t="shared" si="63"/>
        <v>0</v>
      </c>
    </row>
    <row r="985" spans="1:20" x14ac:dyDescent="0.25">
      <c r="A985" t="s">
        <v>1051</v>
      </c>
      <c r="B985">
        <v>984</v>
      </c>
      <c r="C985" t="s">
        <v>36</v>
      </c>
      <c r="D985" t="s">
        <v>30</v>
      </c>
      <c r="E985" t="s">
        <v>60</v>
      </c>
      <c r="F985" s="2">
        <v>46003</v>
      </c>
      <c r="G985" s="2">
        <v>46005</v>
      </c>
      <c r="H985" t="s">
        <v>41</v>
      </c>
      <c r="I985" t="s">
        <v>85</v>
      </c>
      <c r="J985" s="2">
        <v>46010</v>
      </c>
      <c r="K985" s="2">
        <v>46010</v>
      </c>
      <c r="L985" t="s">
        <v>26</v>
      </c>
      <c r="M985" t="s">
        <v>27</v>
      </c>
      <c r="O985" t="s">
        <v>28</v>
      </c>
      <c r="Q985">
        <f t="shared" si="60"/>
        <v>1</v>
      </c>
      <c r="R985" s="3">
        <f t="shared" si="61"/>
        <v>7</v>
      </c>
      <c r="S985">
        <f t="shared" si="62"/>
        <v>0</v>
      </c>
      <c r="T985">
        <f t="shared" si="63"/>
        <v>0</v>
      </c>
    </row>
    <row r="986" spans="1:20" x14ac:dyDescent="0.25">
      <c r="A986" t="s">
        <v>1052</v>
      </c>
      <c r="B986">
        <v>985</v>
      </c>
      <c r="C986" t="s">
        <v>21</v>
      </c>
      <c r="D986" t="s">
        <v>30</v>
      </c>
      <c r="E986" t="s">
        <v>23</v>
      </c>
      <c r="F986" s="2">
        <v>45698</v>
      </c>
      <c r="G986" s="2">
        <v>45698</v>
      </c>
      <c r="H986" t="s">
        <v>31</v>
      </c>
      <c r="I986" t="s">
        <v>62</v>
      </c>
      <c r="J986" s="2">
        <v>45702</v>
      </c>
      <c r="K986" s="2">
        <v>45702</v>
      </c>
      <c r="L986" t="s">
        <v>26</v>
      </c>
      <c r="M986" t="s">
        <v>57</v>
      </c>
      <c r="O986" t="s">
        <v>28</v>
      </c>
      <c r="Q986">
        <f t="shared" si="60"/>
        <v>1</v>
      </c>
      <c r="R986" s="3">
        <f t="shared" si="61"/>
        <v>4</v>
      </c>
      <c r="S986">
        <f t="shared" si="62"/>
        <v>0</v>
      </c>
      <c r="T986">
        <f t="shared" si="63"/>
        <v>0</v>
      </c>
    </row>
    <row r="987" spans="1:20" x14ac:dyDescent="0.25">
      <c r="A987" t="s">
        <v>1053</v>
      </c>
      <c r="B987">
        <v>986</v>
      </c>
      <c r="C987" t="s">
        <v>78</v>
      </c>
      <c r="D987" t="s">
        <v>22</v>
      </c>
      <c r="E987" t="s">
        <v>60</v>
      </c>
      <c r="F987" s="2">
        <v>45981</v>
      </c>
      <c r="G987" s="2">
        <v>45981</v>
      </c>
      <c r="H987" t="s">
        <v>61</v>
      </c>
      <c r="I987" t="s">
        <v>42</v>
      </c>
      <c r="J987" s="2">
        <v>45985</v>
      </c>
      <c r="K987" s="2">
        <v>45985</v>
      </c>
      <c r="L987" t="s">
        <v>26</v>
      </c>
      <c r="M987" t="s">
        <v>57</v>
      </c>
      <c r="O987" t="s">
        <v>37</v>
      </c>
      <c r="Q987">
        <f t="shared" si="60"/>
        <v>1</v>
      </c>
      <c r="R987" s="3">
        <f t="shared" si="61"/>
        <v>4</v>
      </c>
      <c r="S987">
        <f t="shared" si="62"/>
        <v>0</v>
      </c>
      <c r="T987">
        <f t="shared" si="63"/>
        <v>0</v>
      </c>
    </row>
    <row r="988" spans="1:20" x14ac:dyDescent="0.25">
      <c r="A988" t="s">
        <v>1054</v>
      </c>
      <c r="B988">
        <v>987</v>
      </c>
      <c r="C988" t="s">
        <v>51</v>
      </c>
      <c r="D988" t="s">
        <v>22</v>
      </c>
      <c r="E988" t="s">
        <v>56</v>
      </c>
      <c r="F988" s="2">
        <v>45894</v>
      </c>
      <c r="G988" s="2">
        <v>45894</v>
      </c>
      <c r="H988" t="s">
        <v>41</v>
      </c>
      <c r="I988" t="s">
        <v>42</v>
      </c>
      <c r="J988" s="2">
        <v>45896</v>
      </c>
      <c r="K988" s="2">
        <v>45896</v>
      </c>
      <c r="L988" t="s">
        <v>26</v>
      </c>
      <c r="M988" t="s">
        <v>57</v>
      </c>
      <c r="O988" t="s">
        <v>34</v>
      </c>
      <c r="P988" t="s">
        <v>93</v>
      </c>
      <c r="Q988">
        <f t="shared" si="60"/>
        <v>1</v>
      </c>
      <c r="R988" s="3">
        <f t="shared" si="61"/>
        <v>2</v>
      </c>
      <c r="S988">
        <f t="shared" si="62"/>
        <v>0</v>
      </c>
      <c r="T988">
        <f t="shared" si="63"/>
        <v>0</v>
      </c>
    </row>
    <row r="989" spans="1:20" x14ac:dyDescent="0.25">
      <c r="A989" t="s">
        <v>1055</v>
      </c>
      <c r="B989">
        <v>988</v>
      </c>
      <c r="C989" t="s">
        <v>36</v>
      </c>
      <c r="D989" t="s">
        <v>30</v>
      </c>
      <c r="E989" t="s">
        <v>23</v>
      </c>
      <c r="F989" s="2">
        <v>45674</v>
      </c>
      <c r="G989" s="2">
        <v>45675</v>
      </c>
      <c r="H989" t="s">
        <v>41</v>
      </c>
      <c r="I989" t="s">
        <v>54</v>
      </c>
      <c r="J989" s="2">
        <v>45677</v>
      </c>
      <c r="K989" s="2">
        <v>45677</v>
      </c>
      <c r="L989" t="s">
        <v>46</v>
      </c>
      <c r="M989" t="s">
        <v>27</v>
      </c>
      <c r="O989" t="s">
        <v>34</v>
      </c>
      <c r="Q989">
        <f t="shared" si="60"/>
        <v>1</v>
      </c>
      <c r="R989" s="3">
        <f t="shared" si="61"/>
        <v>3</v>
      </c>
      <c r="S989">
        <f t="shared" si="62"/>
        <v>0</v>
      </c>
      <c r="T989">
        <f t="shared" si="63"/>
        <v>1</v>
      </c>
    </row>
    <row r="990" spans="1:20" x14ac:dyDescent="0.25">
      <c r="A990" t="s">
        <v>1056</v>
      </c>
      <c r="B990">
        <v>989</v>
      </c>
      <c r="C990" t="s">
        <v>51</v>
      </c>
      <c r="D990" t="s">
        <v>22</v>
      </c>
      <c r="E990" t="s">
        <v>53</v>
      </c>
      <c r="F990" s="2">
        <v>45914</v>
      </c>
      <c r="G990" s="2">
        <v>45914</v>
      </c>
      <c r="H990" t="s">
        <v>61</v>
      </c>
      <c r="I990" t="s">
        <v>54</v>
      </c>
      <c r="J990" s="2">
        <v>45920</v>
      </c>
      <c r="K990" s="2">
        <v>45920</v>
      </c>
      <c r="L990" t="s">
        <v>26</v>
      </c>
      <c r="M990" t="s">
        <v>57</v>
      </c>
      <c r="O990" t="s">
        <v>43</v>
      </c>
      <c r="Q990">
        <f t="shared" si="60"/>
        <v>1</v>
      </c>
      <c r="R990" s="3">
        <f t="shared" si="61"/>
        <v>6</v>
      </c>
      <c r="S990">
        <f t="shared" si="62"/>
        <v>0</v>
      </c>
      <c r="T990">
        <f t="shared" si="63"/>
        <v>0</v>
      </c>
    </row>
    <row r="991" spans="1:20" x14ac:dyDescent="0.25">
      <c r="A991" t="s">
        <v>1057</v>
      </c>
      <c r="B991">
        <v>990</v>
      </c>
      <c r="C991" t="s">
        <v>59</v>
      </c>
      <c r="D991" t="s">
        <v>30</v>
      </c>
      <c r="E991" t="s">
        <v>53</v>
      </c>
      <c r="F991" s="2">
        <v>45802</v>
      </c>
      <c r="G991" s="2">
        <v>45802</v>
      </c>
      <c r="H991" t="s">
        <v>31</v>
      </c>
      <c r="I991" t="s">
        <v>25</v>
      </c>
      <c r="J991" s="2">
        <v>45807</v>
      </c>
      <c r="K991" s="2">
        <v>45807</v>
      </c>
      <c r="L991" t="s">
        <v>46</v>
      </c>
      <c r="M991" t="s">
        <v>57</v>
      </c>
      <c r="O991" t="s">
        <v>81</v>
      </c>
      <c r="P991" t="s">
        <v>76</v>
      </c>
      <c r="Q991">
        <f t="shared" si="60"/>
        <v>1</v>
      </c>
      <c r="R991" s="3">
        <f t="shared" si="61"/>
        <v>5</v>
      </c>
      <c r="S991">
        <f t="shared" si="62"/>
        <v>0</v>
      </c>
      <c r="T991">
        <f t="shared" si="63"/>
        <v>1</v>
      </c>
    </row>
    <row r="992" spans="1:20" x14ac:dyDescent="0.25">
      <c r="A992" t="s">
        <v>1058</v>
      </c>
      <c r="B992">
        <v>991</v>
      </c>
      <c r="C992" t="s">
        <v>21</v>
      </c>
      <c r="D992" t="s">
        <v>52</v>
      </c>
      <c r="E992" t="s">
        <v>23</v>
      </c>
      <c r="F992" s="2">
        <v>45830</v>
      </c>
      <c r="G992" s="2">
        <v>45832</v>
      </c>
      <c r="H992" t="s">
        <v>31</v>
      </c>
      <c r="I992" t="s">
        <v>25</v>
      </c>
      <c r="J992" s="2">
        <v>45836</v>
      </c>
      <c r="K992" s="2">
        <v>45836</v>
      </c>
      <c r="L992" t="s">
        <v>26</v>
      </c>
      <c r="M992" t="s">
        <v>27</v>
      </c>
      <c r="O992" t="s">
        <v>69</v>
      </c>
      <c r="Q992">
        <f t="shared" si="60"/>
        <v>1</v>
      </c>
      <c r="R992" s="3">
        <f t="shared" si="61"/>
        <v>6</v>
      </c>
      <c r="S992">
        <f t="shared" si="62"/>
        <v>0</v>
      </c>
      <c r="T992">
        <f t="shared" si="63"/>
        <v>0</v>
      </c>
    </row>
    <row r="993" spans="1:20" x14ac:dyDescent="0.25">
      <c r="A993" t="s">
        <v>1059</v>
      </c>
      <c r="B993">
        <v>992</v>
      </c>
      <c r="C993" t="s">
        <v>78</v>
      </c>
      <c r="D993" t="s">
        <v>52</v>
      </c>
      <c r="E993" t="s">
        <v>60</v>
      </c>
      <c r="F993" s="2">
        <v>46011</v>
      </c>
      <c r="G993" s="2">
        <v>46013</v>
      </c>
      <c r="H993" t="s">
        <v>41</v>
      </c>
      <c r="I993" t="s">
        <v>62</v>
      </c>
      <c r="J993" s="2">
        <v>46018</v>
      </c>
      <c r="K993" s="2">
        <v>46018</v>
      </c>
      <c r="L993" t="s">
        <v>26</v>
      </c>
      <c r="M993" t="s">
        <v>27</v>
      </c>
      <c r="O993" t="s">
        <v>69</v>
      </c>
      <c r="Q993">
        <f t="shared" si="60"/>
        <v>1</v>
      </c>
      <c r="R993" s="3">
        <f t="shared" si="61"/>
        <v>7</v>
      </c>
      <c r="S993">
        <f t="shared" si="62"/>
        <v>0</v>
      </c>
      <c r="T993">
        <f t="shared" si="63"/>
        <v>0</v>
      </c>
    </row>
    <row r="994" spans="1:20" x14ac:dyDescent="0.25">
      <c r="A994" t="s">
        <v>1060</v>
      </c>
      <c r="B994">
        <v>993</v>
      </c>
      <c r="C994" t="s">
        <v>21</v>
      </c>
      <c r="D994" t="s">
        <v>64</v>
      </c>
      <c r="E994" t="s">
        <v>53</v>
      </c>
      <c r="F994" s="2">
        <v>45936</v>
      </c>
      <c r="G994" s="2">
        <v>45938</v>
      </c>
      <c r="H994" t="s">
        <v>41</v>
      </c>
      <c r="I994" t="s">
        <v>25</v>
      </c>
      <c r="J994" s="2">
        <v>45943</v>
      </c>
      <c r="K994" s="2">
        <v>45947</v>
      </c>
      <c r="L994" t="s">
        <v>26</v>
      </c>
      <c r="M994" t="s">
        <v>32</v>
      </c>
      <c r="N994" t="s">
        <v>47</v>
      </c>
      <c r="O994" t="s">
        <v>81</v>
      </c>
      <c r="Q994">
        <f t="shared" si="60"/>
        <v>0</v>
      </c>
      <c r="R994" s="3">
        <f t="shared" si="61"/>
        <v>7</v>
      </c>
      <c r="S994">
        <f t="shared" si="62"/>
        <v>1</v>
      </c>
      <c r="T994">
        <f t="shared" si="63"/>
        <v>0</v>
      </c>
    </row>
    <row r="995" spans="1:20" x14ac:dyDescent="0.25">
      <c r="A995" t="s">
        <v>1061</v>
      </c>
      <c r="B995">
        <v>994</v>
      </c>
      <c r="C995" t="s">
        <v>21</v>
      </c>
      <c r="D995" t="s">
        <v>22</v>
      </c>
      <c r="E995" t="s">
        <v>23</v>
      </c>
      <c r="F995" s="2">
        <v>45663</v>
      </c>
      <c r="G995" s="2">
        <v>45665</v>
      </c>
      <c r="H995" t="s">
        <v>61</v>
      </c>
      <c r="I995" t="s">
        <v>83</v>
      </c>
      <c r="J995" s="2">
        <v>45669</v>
      </c>
      <c r="K995" s="2">
        <v>45669</v>
      </c>
      <c r="L995" t="s">
        <v>26</v>
      </c>
      <c r="M995" t="s">
        <v>27</v>
      </c>
      <c r="O995" t="s">
        <v>28</v>
      </c>
      <c r="P995" t="s">
        <v>71</v>
      </c>
      <c r="Q995">
        <f t="shared" si="60"/>
        <v>1</v>
      </c>
      <c r="R995" s="3">
        <f t="shared" si="61"/>
        <v>6</v>
      </c>
      <c r="S995">
        <f t="shared" si="62"/>
        <v>0</v>
      </c>
      <c r="T995">
        <f t="shared" si="63"/>
        <v>0</v>
      </c>
    </row>
    <row r="996" spans="1:20" x14ac:dyDescent="0.25">
      <c r="A996" t="s">
        <v>1062</v>
      </c>
      <c r="B996">
        <v>995</v>
      </c>
      <c r="C996" t="s">
        <v>51</v>
      </c>
      <c r="D996" t="s">
        <v>64</v>
      </c>
      <c r="E996" t="s">
        <v>23</v>
      </c>
      <c r="F996" s="2">
        <v>45958</v>
      </c>
      <c r="G996" s="2">
        <v>45959</v>
      </c>
      <c r="H996" t="s">
        <v>45</v>
      </c>
      <c r="I996" t="s">
        <v>73</v>
      </c>
      <c r="J996" s="2">
        <v>45962</v>
      </c>
      <c r="K996" s="2">
        <v>45962</v>
      </c>
      <c r="L996" t="s">
        <v>26</v>
      </c>
      <c r="M996" t="s">
        <v>57</v>
      </c>
      <c r="O996" t="s">
        <v>81</v>
      </c>
      <c r="Q996">
        <f t="shared" si="60"/>
        <v>1</v>
      </c>
      <c r="R996" s="3">
        <f t="shared" si="61"/>
        <v>4</v>
      </c>
      <c r="S996">
        <f t="shared" si="62"/>
        <v>0</v>
      </c>
      <c r="T996">
        <f t="shared" si="63"/>
        <v>0</v>
      </c>
    </row>
    <row r="997" spans="1:20" x14ac:dyDescent="0.25">
      <c r="A997" t="s">
        <v>1063</v>
      </c>
      <c r="B997">
        <v>996</v>
      </c>
      <c r="C997" t="s">
        <v>36</v>
      </c>
      <c r="D997" t="s">
        <v>52</v>
      </c>
      <c r="E997" t="s">
        <v>40</v>
      </c>
      <c r="F997" s="2">
        <v>45678</v>
      </c>
      <c r="G997" s="2">
        <v>45680</v>
      </c>
      <c r="H997" t="s">
        <v>45</v>
      </c>
      <c r="I997" t="s">
        <v>42</v>
      </c>
      <c r="J997" s="2">
        <v>45681</v>
      </c>
      <c r="K997" s="2">
        <v>45685</v>
      </c>
      <c r="L997" t="s">
        <v>26</v>
      </c>
      <c r="M997" t="s">
        <v>32</v>
      </c>
      <c r="N997" t="s">
        <v>264</v>
      </c>
      <c r="O997" t="s">
        <v>37</v>
      </c>
      <c r="Q997">
        <f t="shared" si="60"/>
        <v>0</v>
      </c>
      <c r="R997" s="3">
        <f t="shared" si="61"/>
        <v>3</v>
      </c>
      <c r="S997">
        <f t="shared" si="62"/>
        <v>1</v>
      </c>
      <c r="T997">
        <f t="shared" si="63"/>
        <v>0</v>
      </c>
    </row>
    <row r="998" spans="1:20" x14ac:dyDescent="0.25">
      <c r="A998" t="s">
        <v>1064</v>
      </c>
      <c r="B998">
        <v>997</v>
      </c>
      <c r="C998" t="s">
        <v>59</v>
      </c>
      <c r="D998" t="s">
        <v>52</v>
      </c>
      <c r="E998" t="s">
        <v>60</v>
      </c>
      <c r="F998" s="2">
        <v>45992</v>
      </c>
      <c r="G998" s="2">
        <v>45992</v>
      </c>
      <c r="H998" t="s">
        <v>45</v>
      </c>
      <c r="I998" t="s">
        <v>42</v>
      </c>
      <c r="J998" s="2">
        <v>45997</v>
      </c>
      <c r="K998" s="2">
        <v>45997</v>
      </c>
      <c r="L998" t="s">
        <v>26</v>
      </c>
      <c r="M998" t="s">
        <v>57</v>
      </c>
      <c r="O998" t="s">
        <v>28</v>
      </c>
      <c r="Q998">
        <f t="shared" si="60"/>
        <v>1</v>
      </c>
      <c r="R998" s="3">
        <f t="shared" si="61"/>
        <v>5</v>
      </c>
      <c r="S998">
        <f t="shared" si="62"/>
        <v>0</v>
      </c>
      <c r="T998">
        <f t="shared" si="63"/>
        <v>0</v>
      </c>
    </row>
    <row r="999" spans="1:20" x14ac:dyDescent="0.25">
      <c r="A999" t="s">
        <v>1065</v>
      </c>
      <c r="B999">
        <v>998</v>
      </c>
      <c r="C999" t="s">
        <v>78</v>
      </c>
      <c r="D999" t="s">
        <v>64</v>
      </c>
      <c r="E999" t="s">
        <v>56</v>
      </c>
      <c r="F999" s="2">
        <v>45921</v>
      </c>
      <c r="G999" s="2">
        <v>45921</v>
      </c>
      <c r="H999" t="s">
        <v>24</v>
      </c>
      <c r="I999" t="s">
        <v>25</v>
      </c>
      <c r="J999" s="2">
        <v>45922</v>
      </c>
      <c r="K999" s="2">
        <v>45922</v>
      </c>
      <c r="L999" t="s">
        <v>26</v>
      </c>
      <c r="M999" t="s">
        <v>27</v>
      </c>
      <c r="O999" t="s">
        <v>81</v>
      </c>
      <c r="P999" t="s">
        <v>93</v>
      </c>
      <c r="Q999">
        <f t="shared" si="60"/>
        <v>1</v>
      </c>
      <c r="R999" s="3">
        <f t="shared" si="61"/>
        <v>1</v>
      </c>
      <c r="S999">
        <f t="shared" si="62"/>
        <v>0</v>
      </c>
      <c r="T999">
        <f t="shared" si="63"/>
        <v>0</v>
      </c>
    </row>
    <row r="1000" spans="1:20" x14ac:dyDescent="0.25">
      <c r="A1000" t="s">
        <v>1066</v>
      </c>
      <c r="B1000">
        <v>999</v>
      </c>
      <c r="C1000" t="s">
        <v>78</v>
      </c>
      <c r="D1000" t="s">
        <v>22</v>
      </c>
      <c r="E1000" t="s">
        <v>60</v>
      </c>
      <c r="F1000" s="2">
        <v>45922</v>
      </c>
      <c r="G1000" s="2">
        <v>45924</v>
      </c>
      <c r="H1000" t="s">
        <v>31</v>
      </c>
      <c r="I1000" t="s">
        <v>73</v>
      </c>
      <c r="J1000" s="2">
        <v>45928</v>
      </c>
      <c r="K1000" s="2">
        <v>45928</v>
      </c>
      <c r="L1000" t="s">
        <v>26</v>
      </c>
      <c r="M1000" t="s">
        <v>27</v>
      </c>
      <c r="O1000" t="s">
        <v>69</v>
      </c>
      <c r="P1000" t="s">
        <v>93</v>
      </c>
      <c r="Q1000">
        <f t="shared" si="60"/>
        <v>1</v>
      </c>
      <c r="R1000" s="3">
        <f t="shared" si="61"/>
        <v>6</v>
      </c>
      <c r="S1000">
        <f t="shared" si="62"/>
        <v>0</v>
      </c>
      <c r="T1000">
        <f t="shared" si="63"/>
        <v>0</v>
      </c>
    </row>
    <row r="1001" spans="1:20" x14ac:dyDescent="0.25">
      <c r="A1001" t="s">
        <v>1067</v>
      </c>
      <c r="B1001">
        <v>1000</v>
      </c>
      <c r="C1001" t="s">
        <v>59</v>
      </c>
      <c r="D1001" t="s">
        <v>64</v>
      </c>
      <c r="E1001" t="s">
        <v>40</v>
      </c>
      <c r="F1001" s="2">
        <v>45669</v>
      </c>
      <c r="G1001" s="2">
        <v>45670</v>
      </c>
      <c r="H1001" t="s">
        <v>61</v>
      </c>
      <c r="I1001" t="s">
        <v>62</v>
      </c>
      <c r="J1001" s="2">
        <v>45671</v>
      </c>
      <c r="K1001" s="2">
        <v>45671</v>
      </c>
      <c r="L1001" t="s">
        <v>26</v>
      </c>
      <c r="M1001" t="s">
        <v>57</v>
      </c>
      <c r="O1001" t="s">
        <v>37</v>
      </c>
      <c r="Q1001">
        <f t="shared" si="60"/>
        <v>1</v>
      </c>
      <c r="R1001" s="3">
        <f t="shared" si="61"/>
        <v>2</v>
      </c>
      <c r="S1001">
        <f t="shared" si="62"/>
        <v>0</v>
      </c>
      <c r="T1001">
        <f t="shared" si="63"/>
        <v>0</v>
      </c>
    </row>
    <row r="1002" spans="1:20" x14ac:dyDescent="0.25">
      <c r="A1002" t="s">
        <v>1068</v>
      </c>
      <c r="B1002">
        <v>1001</v>
      </c>
      <c r="C1002" t="s">
        <v>59</v>
      </c>
      <c r="D1002" t="s">
        <v>22</v>
      </c>
      <c r="E1002" t="s">
        <v>53</v>
      </c>
      <c r="F1002" s="2">
        <v>45696</v>
      </c>
      <c r="G1002" s="2">
        <v>45698</v>
      </c>
      <c r="H1002" t="s">
        <v>24</v>
      </c>
      <c r="I1002" t="s">
        <v>73</v>
      </c>
      <c r="J1002" s="2">
        <v>45701</v>
      </c>
      <c r="K1002" s="2">
        <v>45701</v>
      </c>
      <c r="L1002" t="s">
        <v>26</v>
      </c>
      <c r="M1002" t="s">
        <v>27</v>
      </c>
      <c r="O1002" t="s">
        <v>28</v>
      </c>
      <c r="Q1002">
        <f t="shared" si="60"/>
        <v>1</v>
      </c>
      <c r="R1002" s="3">
        <f t="shared" si="61"/>
        <v>5</v>
      </c>
      <c r="S1002">
        <f t="shared" si="62"/>
        <v>0</v>
      </c>
      <c r="T1002">
        <f t="shared" si="63"/>
        <v>0</v>
      </c>
    </row>
    <row r="1003" spans="1:20" x14ac:dyDescent="0.25">
      <c r="A1003" t="s">
        <v>1069</v>
      </c>
      <c r="B1003">
        <v>1002</v>
      </c>
      <c r="C1003" t="s">
        <v>78</v>
      </c>
      <c r="D1003" t="s">
        <v>30</v>
      </c>
      <c r="E1003" t="s">
        <v>56</v>
      </c>
      <c r="F1003" s="2">
        <v>45876</v>
      </c>
      <c r="G1003" s="2">
        <v>45877</v>
      </c>
      <c r="H1003" t="s">
        <v>61</v>
      </c>
      <c r="I1003" t="s">
        <v>62</v>
      </c>
      <c r="J1003" s="2">
        <v>45878</v>
      </c>
      <c r="K1003" s="2">
        <v>45878</v>
      </c>
      <c r="L1003" t="s">
        <v>46</v>
      </c>
      <c r="M1003" t="s">
        <v>27</v>
      </c>
      <c r="O1003" t="s">
        <v>28</v>
      </c>
      <c r="P1003" t="s">
        <v>93</v>
      </c>
      <c r="Q1003">
        <f t="shared" si="60"/>
        <v>1</v>
      </c>
      <c r="R1003" s="3">
        <f t="shared" si="61"/>
        <v>2</v>
      </c>
      <c r="S1003">
        <f t="shared" si="62"/>
        <v>0</v>
      </c>
      <c r="T1003">
        <f t="shared" si="63"/>
        <v>1</v>
      </c>
    </row>
    <row r="1004" spans="1:20" x14ac:dyDescent="0.25">
      <c r="A1004" t="s">
        <v>1070</v>
      </c>
      <c r="B1004">
        <v>1003</v>
      </c>
      <c r="C1004" t="s">
        <v>51</v>
      </c>
      <c r="D1004" t="s">
        <v>30</v>
      </c>
      <c r="E1004" t="s">
        <v>53</v>
      </c>
      <c r="F1004" s="2">
        <v>45816</v>
      </c>
      <c r="G1004" s="2">
        <v>45818</v>
      </c>
      <c r="H1004" t="s">
        <v>45</v>
      </c>
      <c r="I1004" t="s">
        <v>54</v>
      </c>
      <c r="J1004" s="2">
        <v>45819</v>
      </c>
      <c r="K1004" s="2">
        <v>45819</v>
      </c>
      <c r="L1004" t="s">
        <v>26</v>
      </c>
      <c r="M1004" t="s">
        <v>27</v>
      </c>
      <c r="O1004" t="s">
        <v>81</v>
      </c>
      <c r="Q1004">
        <f t="shared" si="60"/>
        <v>1</v>
      </c>
      <c r="R1004" s="3">
        <f t="shared" si="61"/>
        <v>3</v>
      </c>
      <c r="S1004">
        <f t="shared" si="62"/>
        <v>0</v>
      </c>
      <c r="T1004">
        <f t="shared" si="63"/>
        <v>0</v>
      </c>
    </row>
    <row r="1005" spans="1:20" x14ac:dyDescent="0.25">
      <c r="A1005" t="s">
        <v>1071</v>
      </c>
      <c r="B1005">
        <v>1004</v>
      </c>
      <c r="C1005" t="s">
        <v>59</v>
      </c>
      <c r="D1005" t="s">
        <v>52</v>
      </c>
      <c r="E1005" t="s">
        <v>56</v>
      </c>
      <c r="F1005" s="2">
        <v>45989</v>
      </c>
      <c r="G1005" s="2">
        <v>45989</v>
      </c>
      <c r="H1005" t="s">
        <v>31</v>
      </c>
      <c r="I1005" t="s">
        <v>73</v>
      </c>
      <c r="J1005" s="2">
        <v>45992</v>
      </c>
      <c r="K1005" s="2">
        <v>45994</v>
      </c>
      <c r="L1005" t="s">
        <v>26</v>
      </c>
      <c r="M1005" t="s">
        <v>32</v>
      </c>
      <c r="N1005" t="s">
        <v>67</v>
      </c>
      <c r="O1005" t="s">
        <v>43</v>
      </c>
      <c r="Q1005">
        <f t="shared" si="60"/>
        <v>0</v>
      </c>
      <c r="R1005" s="3">
        <f t="shared" si="61"/>
        <v>3</v>
      </c>
      <c r="S1005">
        <f t="shared" si="62"/>
        <v>1</v>
      </c>
      <c r="T1005">
        <f t="shared" si="63"/>
        <v>0</v>
      </c>
    </row>
    <row r="1006" spans="1:20" x14ac:dyDescent="0.25">
      <c r="A1006" t="s">
        <v>1072</v>
      </c>
      <c r="B1006">
        <v>1005</v>
      </c>
      <c r="C1006" t="s">
        <v>59</v>
      </c>
      <c r="D1006" t="s">
        <v>64</v>
      </c>
      <c r="E1006" t="s">
        <v>60</v>
      </c>
      <c r="F1006" s="2">
        <v>45800</v>
      </c>
      <c r="G1006" s="2">
        <v>45802</v>
      </c>
      <c r="H1006" t="s">
        <v>45</v>
      </c>
      <c r="I1006" t="s">
        <v>42</v>
      </c>
      <c r="J1006" s="2">
        <v>45803</v>
      </c>
      <c r="K1006" s="2">
        <v>45807</v>
      </c>
      <c r="L1006" t="s">
        <v>46</v>
      </c>
      <c r="M1006" t="s">
        <v>32</v>
      </c>
      <c r="N1006" t="s">
        <v>33</v>
      </c>
      <c r="O1006" t="s">
        <v>43</v>
      </c>
      <c r="Q1006">
        <f t="shared" si="60"/>
        <v>0</v>
      </c>
      <c r="R1006" s="3">
        <f t="shared" si="61"/>
        <v>3</v>
      </c>
      <c r="S1006">
        <f t="shared" si="62"/>
        <v>1</v>
      </c>
      <c r="T1006">
        <f t="shared" si="63"/>
        <v>1</v>
      </c>
    </row>
    <row r="1007" spans="1:20" x14ac:dyDescent="0.25">
      <c r="A1007" t="s">
        <v>1073</v>
      </c>
      <c r="B1007">
        <v>1006</v>
      </c>
      <c r="C1007" t="s">
        <v>36</v>
      </c>
      <c r="D1007" t="s">
        <v>39</v>
      </c>
      <c r="E1007" t="s">
        <v>53</v>
      </c>
      <c r="F1007" s="2">
        <v>45821</v>
      </c>
      <c r="G1007" s="2">
        <v>45822</v>
      </c>
      <c r="H1007" t="s">
        <v>31</v>
      </c>
      <c r="I1007" t="s">
        <v>73</v>
      </c>
      <c r="J1007" s="2">
        <v>45823</v>
      </c>
      <c r="K1007" s="2">
        <v>45823</v>
      </c>
      <c r="L1007" t="s">
        <v>26</v>
      </c>
      <c r="M1007" t="s">
        <v>27</v>
      </c>
      <c r="O1007" t="s">
        <v>34</v>
      </c>
      <c r="Q1007">
        <f t="shared" si="60"/>
        <v>1</v>
      </c>
      <c r="R1007" s="3">
        <f t="shared" si="61"/>
        <v>2</v>
      </c>
      <c r="S1007">
        <f t="shared" si="62"/>
        <v>0</v>
      </c>
      <c r="T1007">
        <f t="shared" si="63"/>
        <v>0</v>
      </c>
    </row>
    <row r="1008" spans="1:20" x14ac:dyDescent="0.25">
      <c r="A1008" t="s">
        <v>1074</v>
      </c>
      <c r="B1008">
        <v>1007</v>
      </c>
      <c r="C1008" t="s">
        <v>78</v>
      </c>
      <c r="D1008" t="s">
        <v>30</v>
      </c>
      <c r="E1008" t="s">
        <v>40</v>
      </c>
      <c r="F1008" s="2">
        <v>45706</v>
      </c>
      <c r="G1008" s="2">
        <v>45708</v>
      </c>
      <c r="H1008" t="s">
        <v>41</v>
      </c>
      <c r="I1008" t="s">
        <v>54</v>
      </c>
      <c r="J1008" s="2">
        <v>45710</v>
      </c>
      <c r="K1008" s="2">
        <v>45710</v>
      </c>
      <c r="L1008" t="s">
        <v>26</v>
      </c>
      <c r="M1008" t="s">
        <v>27</v>
      </c>
      <c r="O1008" t="s">
        <v>37</v>
      </c>
      <c r="Q1008">
        <f t="shared" si="60"/>
        <v>1</v>
      </c>
      <c r="R1008" s="3">
        <f t="shared" si="61"/>
        <v>4</v>
      </c>
      <c r="S1008">
        <f t="shared" si="62"/>
        <v>0</v>
      </c>
      <c r="T1008">
        <f t="shared" si="63"/>
        <v>0</v>
      </c>
    </row>
    <row r="1009" spans="1:20" x14ac:dyDescent="0.25">
      <c r="A1009" t="s">
        <v>1075</v>
      </c>
      <c r="B1009">
        <v>1008</v>
      </c>
      <c r="C1009" t="s">
        <v>59</v>
      </c>
      <c r="D1009" t="s">
        <v>52</v>
      </c>
      <c r="E1009" t="s">
        <v>40</v>
      </c>
      <c r="F1009" s="2">
        <v>45864</v>
      </c>
      <c r="G1009" s="2">
        <v>45864</v>
      </c>
      <c r="H1009" t="s">
        <v>24</v>
      </c>
      <c r="I1009" t="s">
        <v>62</v>
      </c>
      <c r="J1009" s="2">
        <v>45870</v>
      </c>
      <c r="K1009" s="2">
        <v>45870</v>
      </c>
      <c r="L1009" t="s">
        <v>26</v>
      </c>
      <c r="M1009" t="s">
        <v>57</v>
      </c>
      <c r="O1009" t="s">
        <v>28</v>
      </c>
      <c r="Q1009">
        <f t="shared" si="60"/>
        <v>1</v>
      </c>
      <c r="R1009" s="3">
        <f t="shared" si="61"/>
        <v>6</v>
      </c>
      <c r="S1009">
        <f t="shared" si="62"/>
        <v>0</v>
      </c>
      <c r="T1009">
        <f t="shared" si="63"/>
        <v>0</v>
      </c>
    </row>
    <row r="1010" spans="1:20" x14ac:dyDescent="0.25">
      <c r="A1010" t="s">
        <v>1076</v>
      </c>
      <c r="B1010">
        <v>1009</v>
      </c>
      <c r="C1010" t="s">
        <v>21</v>
      </c>
      <c r="D1010" t="s">
        <v>30</v>
      </c>
      <c r="E1010" t="s">
        <v>23</v>
      </c>
      <c r="F1010" s="2">
        <v>46018</v>
      </c>
      <c r="G1010" s="2">
        <v>46019</v>
      </c>
      <c r="H1010" t="s">
        <v>61</v>
      </c>
      <c r="I1010" t="s">
        <v>83</v>
      </c>
      <c r="J1010" s="2">
        <v>46021</v>
      </c>
      <c r="K1010" s="2">
        <v>46021</v>
      </c>
      <c r="L1010" t="s">
        <v>26</v>
      </c>
      <c r="M1010" t="s">
        <v>57</v>
      </c>
      <c r="O1010" t="s">
        <v>34</v>
      </c>
      <c r="Q1010">
        <f t="shared" si="60"/>
        <v>1</v>
      </c>
      <c r="R1010" s="3">
        <f t="shared" si="61"/>
        <v>3</v>
      </c>
      <c r="S1010">
        <f t="shared" si="62"/>
        <v>0</v>
      </c>
      <c r="T1010">
        <f t="shared" si="63"/>
        <v>0</v>
      </c>
    </row>
    <row r="1011" spans="1:20" x14ac:dyDescent="0.25">
      <c r="A1011" t="s">
        <v>1077</v>
      </c>
      <c r="B1011">
        <v>1010</v>
      </c>
      <c r="C1011" t="s">
        <v>36</v>
      </c>
      <c r="D1011" t="s">
        <v>22</v>
      </c>
      <c r="E1011" t="s">
        <v>53</v>
      </c>
      <c r="F1011" s="2">
        <v>45748</v>
      </c>
      <c r="G1011" s="2">
        <v>45748</v>
      </c>
      <c r="H1011" t="s">
        <v>31</v>
      </c>
      <c r="I1011" t="s">
        <v>54</v>
      </c>
      <c r="J1011" s="2">
        <v>45750</v>
      </c>
      <c r="K1011" s="2">
        <v>45751</v>
      </c>
      <c r="L1011" t="s">
        <v>46</v>
      </c>
      <c r="M1011" t="s">
        <v>32</v>
      </c>
      <c r="N1011" t="s">
        <v>49</v>
      </c>
      <c r="O1011" t="s">
        <v>37</v>
      </c>
      <c r="Q1011">
        <f t="shared" si="60"/>
        <v>0</v>
      </c>
      <c r="R1011" s="3">
        <f t="shared" si="61"/>
        <v>2</v>
      </c>
      <c r="S1011">
        <f t="shared" si="62"/>
        <v>1</v>
      </c>
      <c r="T1011">
        <f t="shared" si="63"/>
        <v>1</v>
      </c>
    </row>
    <row r="1012" spans="1:20" x14ac:dyDescent="0.25">
      <c r="A1012" t="s">
        <v>1078</v>
      </c>
      <c r="B1012">
        <v>1011</v>
      </c>
      <c r="C1012" t="s">
        <v>21</v>
      </c>
      <c r="D1012" t="s">
        <v>22</v>
      </c>
      <c r="E1012" t="s">
        <v>56</v>
      </c>
      <c r="F1012" s="2">
        <v>45975</v>
      </c>
      <c r="G1012" s="2">
        <v>45976</v>
      </c>
      <c r="H1012" t="s">
        <v>31</v>
      </c>
      <c r="I1012" t="s">
        <v>62</v>
      </c>
      <c r="J1012" s="2">
        <v>45979</v>
      </c>
      <c r="K1012" s="2">
        <v>45979</v>
      </c>
      <c r="L1012" t="s">
        <v>46</v>
      </c>
      <c r="M1012" t="s">
        <v>27</v>
      </c>
      <c r="O1012" t="s">
        <v>43</v>
      </c>
      <c r="Q1012">
        <f t="shared" si="60"/>
        <v>1</v>
      </c>
      <c r="R1012" s="3">
        <f t="shared" si="61"/>
        <v>4</v>
      </c>
      <c r="S1012">
        <f t="shared" si="62"/>
        <v>0</v>
      </c>
      <c r="T1012">
        <f t="shared" si="63"/>
        <v>1</v>
      </c>
    </row>
    <row r="1013" spans="1:20" x14ac:dyDescent="0.25">
      <c r="A1013" t="s">
        <v>1079</v>
      </c>
      <c r="B1013">
        <v>1012</v>
      </c>
      <c r="C1013" t="s">
        <v>51</v>
      </c>
      <c r="D1013" t="s">
        <v>39</v>
      </c>
      <c r="E1013" t="s">
        <v>53</v>
      </c>
      <c r="F1013" s="2">
        <v>45717</v>
      </c>
      <c r="G1013" s="2">
        <v>45717</v>
      </c>
      <c r="H1013" t="s">
        <v>61</v>
      </c>
      <c r="I1013" t="s">
        <v>83</v>
      </c>
      <c r="J1013" s="2">
        <v>45718</v>
      </c>
      <c r="K1013" s="2">
        <v>45718</v>
      </c>
      <c r="L1013" t="s">
        <v>26</v>
      </c>
      <c r="M1013" t="s">
        <v>57</v>
      </c>
      <c r="O1013" t="s">
        <v>37</v>
      </c>
      <c r="Q1013">
        <f t="shared" si="60"/>
        <v>1</v>
      </c>
      <c r="R1013" s="3">
        <f t="shared" si="61"/>
        <v>1</v>
      </c>
      <c r="S1013">
        <f t="shared" si="62"/>
        <v>0</v>
      </c>
      <c r="T1013">
        <f t="shared" si="63"/>
        <v>0</v>
      </c>
    </row>
    <row r="1014" spans="1:20" x14ac:dyDescent="0.25">
      <c r="A1014" t="s">
        <v>1080</v>
      </c>
      <c r="B1014">
        <v>1013</v>
      </c>
      <c r="C1014" t="s">
        <v>59</v>
      </c>
      <c r="D1014" t="s">
        <v>64</v>
      </c>
      <c r="E1014" t="s">
        <v>53</v>
      </c>
      <c r="F1014" s="2">
        <v>46002</v>
      </c>
      <c r="G1014" s="2">
        <v>46002</v>
      </c>
      <c r="H1014" t="s">
        <v>31</v>
      </c>
      <c r="I1014" t="s">
        <v>62</v>
      </c>
      <c r="J1014" s="2">
        <v>46006</v>
      </c>
      <c r="K1014" s="2">
        <v>46006</v>
      </c>
      <c r="L1014" t="s">
        <v>26</v>
      </c>
      <c r="M1014" t="s">
        <v>57</v>
      </c>
      <c r="O1014" t="s">
        <v>34</v>
      </c>
      <c r="Q1014">
        <f t="shared" si="60"/>
        <v>1</v>
      </c>
      <c r="R1014" s="3">
        <f t="shared" si="61"/>
        <v>4</v>
      </c>
      <c r="S1014">
        <f t="shared" si="62"/>
        <v>0</v>
      </c>
      <c r="T1014">
        <f t="shared" si="63"/>
        <v>0</v>
      </c>
    </row>
    <row r="1015" spans="1:20" x14ac:dyDescent="0.25">
      <c r="A1015" t="s">
        <v>1081</v>
      </c>
      <c r="B1015">
        <v>1014</v>
      </c>
      <c r="C1015" t="s">
        <v>21</v>
      </c>
      <c r="D1015" t="s">
        <v>64</v>
      </c>
      <c r="E1015" t="s">
        <v>60</v>
      </c>
      <c r="F1015" s="2">
        <v>45887</v>
      </c>
      <c r="G1015" s="2">
        <v>45887</v>
      </c>
      <c r="H1015" t="s">
        <v>31</v>
      </c>
      <c r="I1015" t="s">
        <v>73</v>
      </c>
      <c r="J1015" s="2">
        <v>45889</v>
      </c>
      <c r="K1015" s="2">
        <v>45889</v>
      </c>
      <c r="L1015" t="s">
        <v>26</v>
      </c>
      <c r="M1015" t="s">
        <v>57</v>
      </c>
      <c r="O1015" t="s">
        <v>81</v>
      </c>
      <c r="P1015" t="s">
        <v>93</v>
      </c>
      <c r="Q1015">
        <f t="shared" si="60"/>
        <v>1</v>
      </c>
      <c r="R1015" s="3">
        <f t="shared" si="61"/>
        <v>2</v>
      </c>
      <c r="S1015">
        <f t="shared" si="62"/>
        <v>0</v>
      </c>
      <c r="T1015">
        <f t="shared" si="63"/>
        <v>0</v>
      </c>
    </row>
    <row r="1016" spans="1:20" x14ac:dyDescent="0.25">
      <c r="A1016" t="s">
        <v>1082</v>
      </c>
      <c r="B1016">
        <v>1015</v>
      </c>
      <c r="C1016" t="s">
        <v>36</v>
      </c>
      <c r="D1016" t="s">
        <v>64</v>
      </c>
      <c r="E1016" t="s">
        <v>53</v>
      </c>
      <c r="F1016" s="2">
        <v>45704</v>
      </c>
      <c r="G1016" s="2">
        <v>45705</v>
      </c>
      <c r="H1016" t="s">
        <v>24</v>
      </c>
      <c r="I1016" t="s">
        <v>85</v>
      </c>
      <c r="J1016" s="2">
        <v>45708</v>
      </c>
      <c r="K1016" s="2">
        <v>45710</v>
      </c>
      <c r="L1016" t="s">
        <v>26</v>
      </c>
      <c r="M1016" t="s">
        <v>32</v>
      </c>
      <c r="N1016" t="s">
        <v>264</v>
      </c>
      <c r="O1016" t="s">
        <v>81</v>
      </c>
      <c r="Q1016">
        <f t="shared" si="60"/>
        <v>0</v>
      </c>
      <c r="R1016" s="3">
        <f t="shared" si="61"/>
        <v>4</v>
      </c>
      <c r="S1016">
        <f t="shared" si="62"/>
        <v>1</v>
      </c>
      <c r="T1016">
        <f t="shared" si="63"/>
        <v>0</v>
      </c>
    </row>
    <row r="1017" spans="1:20" x14ac:dyDescent="0.25">
      <c r="A1017" t="s">
        <v>1083</v>
      </c>
      <c r="B1017">
        <v>1016</v>
      </c>
      <c r="C1017" t="s">
        <v>36</v>
      </c>
      <c r="D1017" t="s">
        <v>64</v>
      </c>
      <c r="E1017" t="s">
        <v>60</v>
      </c>
      <c r="F1017" s="2">
        <v>45983</v>
      </c>
      <c r="G1017" s="2">
        <v>45985</v>
      </c>
      <c r="H1017" t="s">
        <v>61</v>
      </c>
      <c r="I1017" t="s">
        <v>42</v>
      </c>
      <c r="J1017" s="2">
        <v>45988</v>
      </c>
      <c r="K1017" s="2">
        <v>45991</v>
      </c>
      <c r="L1017" t="s">
        <v>26</v>
      </c>
      <c r="M1017" t="s">
        <v>32</v>
      </c>
      <c r="N1017" t="s">
        <v>47</v>
      </c>
      <c r="O1017" t="s">
        <v>34</v>
      </c>
      <c r="P1017" t="s">
        <v>88</v>
      </c>
      <c r="Q1017">
        <f t="shared" si="60"/>
        <v>0</v>
      </c>
      <c r="R1017" s="3">
        <f t="shared" si="61"/>
        <v>5</v>
      </c>
      <c r="S1017">
        <f t="shared" si="62"/>
        <v>1</v>
      </c>
      <c r="T1017">
        <f t="shared" si="63"/>
        <v>0</v>
      </c>
    </row>
    <row r="1018" spans="1:20" x14ac:dyDescent="0.25">
      <c r="A1018" t="s">
        <v>1084</v>
      </c>
      <c r="B1018">
        <v>1017</v>
      </c>
      <c r="C1018" t="s">
        <v>21</v>
      </c>
      <c r="D1018" t="s">
        <v>39</v>
      </c>
      <c r="E1018" t="s">
        <v>56</v>
      </c>
      <c r="F1018" s="2">
        <v>46017</v>
      </c>
      <c r="G1018" s="2">
        <v>46019</v>
      </c>
      <c r="H1018" t="s">
        <v>61</v>
      </c>
      <c r="I1018" t="s">
        <v>42</v>
      </c>
      <c r="J1018" s="2">
        <v>46024</v>
      </c>
      <c r="K1018" s="2">
        <v>46024</v>
      </c>
      <c r="L1018" t="s">
        <v>26</v>
      </c>
      <c r="M1018" t="s">
        <v>57</v>
      </c>
      <c r="O1018" t="s">
        <v>37</v>
      </c>
      <c r="Q1018">
        <f t="shared" si="60"/>
        <v>1</v>
      </c>
      <c r="R1018" s="3">
        <f t="shared" si="61"/>
        <v>7</v>
      </c>
      <c r="S1018">
        <f t="shared" si="62"/>
        <v>0</v>
      </c>
      <c r="T1018">
        <f t="shared" si="63"/>
        <v>0</v>
      </c>
    </row>
    <row r="1019" spans="1:20" x14ac:dyDescent="0.25">
      <c r="A1019" t="s">
        <v>1085</v>
      </c>
      <c r="B1019">
        <v>1018</v>
      </c>
      <c r="C1019" t="s">
        <v>36</v>
      </c>
      <c r="D1019" t="s">
        <v>52</v>
      </c>
      <c r="E1019" t="s">
        <v>23</v>
      </c>
      <c r="F1019" s="2">
        <v>45734</v>
      </c>
      <c r="G1019" s="2">
        <v>45734</v>
      </c>
      <c r="H1019" t="s">
        <v>61</v>
      </c>
      <c r="I1019" t="s">
        <v>25</v>
      </c>
      <c r="J1019" s="2">
        <v>45739</v>
      </c>
      <c r="K1019" s="2">
        <v>45739</v>
      </c>
      <c r="L1019" t="s">
        <v>26</v>
      </c>
      <c r="M1019" t="s">
        <v>57</v>
      </c>
      <c r="O1019" t="s">
        <v>69</v>
      </c>
      <c r="Q1019">
        <f t="shared" si="60"/>
        <v>1</v>
      </c>
      <c r="R1019" s="3">
        <f t="shared" si="61"/>
        <v>5</v>
      </c>
      <c r="S1019">
        <f t="shared" si="62"/>
        <v>0</v>
      </c>
      <c r="T1019">
        <f t="shared" si="63"/>
        <v>0</v>
      </c>
    </row>
    <row r="1020" spans="1:20" x14ac:dyDescent="0.25">
      <c r="A1020" t="s">
        <v>1086</v>
      </c>
      <c r="B1020">
        <v>1019</v>
      </c>
      <c r="C1020" t="s">
        <v>51</v>
      </c>
      <c r="D1020" t="s">
        <v>52</v>
      </c>
      <c r="E1020" t="s">
        <v>40</v>
      </c>
      <c r="F1020" s="2">
        <v>45703</v>
      </c>
      <c r="G1020" s="2">
        <v>45703</v>
      </c>
      <c r="H1020" t="s">
        <v>41</v>
      </c>
      <c r="I1020" t="s">
        <v>42</v>
      </c>
      <c r="J1020" s="2">
        <v>45707</v>
      </c>
      <c r="K1020" s="2">
        <v>45707</v>
      </c>
      <c r="L1020" t="s">
        <v>26</v>
      </c>
      <c r="M1020" t="s">
        <v>27</v>
      </c>
      <c r="O1020" t="s">
        <v>34</v>
      </c>
      <c r="Q1020">
        <f t="shared" si="60"/>
        <v>1</v>
      </c>
      <c r="R1020" s="3">
        <f t="shared" si="61"/>
        <v>4</v>
      </c>
      <c r="S1020">
        <f t="shared" si="62"/>
        <v>0</v>
      </c>
      <c r="T1020">
        <f t="shared" si="63"/>
        <v>0</v>
      </c>
    </row>
    <row r="1021" spans="1:20" x14ac:dyDescent="0.25">
      <c r="A1021" t="s">
        <v>1087</v>
      </c>
      <c r="B1021">
        <v>1020</v>
      </c>
      <c r="C1021" t="s">
        <v>36</v>
      </c>
      <c r="D1021" t="s">
        <v>39</v>
      </c>
      <c r="E1021" t="s">
        <v>23</v>
      </c>
      <c r="F1021" s="2">
        <v>45768</v>
      </c>
      <c r="G1021" s="2">
        <v>45768</v>
      </c>
      <c r="H1021" t="s">
        <v>45</v>
      </c>
      <c r="I1021" t="s">
        <v>62</v>
      </c>
      <c r="J1021" s="2">
        <v>45772</v>
      </c>
      <c r="K1021" s="2">
        <v>45772</v>
      </c>
      <c r="L1021" t="s">
        <v>26</v>
      </c>
      <c r="M1021" t="s">
        <v>57</v>
      </c>
      <c r="O1021" t="s">
        <v>34</v>
      </c>
      <c r="Q1021">
        <f t="shared" si="60"/>
        <v>1</v>
      </c>
      <c r="R1021" s="3">
        <f t="shared" si="61"/>
        <v>4</v>
      </c>
      <c r="S1021">
        <f t="shared" si="62"/>
        <v>0</v>
      </c>
      <c r="T1021">
        <f t="shared" si="63"/>
        <v>0</v>
      </c>
    </row>
    <row r="1022" spans="1:20" x14ac:dyDescent="0.25">
      <c r="A1022" t="s">
        <v>1088</v>
      </c>
      <c r="B1022">
        <v>1021</v>
      </c>
      <c r="C1022" t="s">
        <v>78</v>
      </c>
      <c r="D1022" t="s">
        <v>52</v>
      </c>
      <c r="E1022" t="s">
        <v>56</v>
      </c>
      <c r="F1022" s="2">
        <v>45878</v>
      </c>
      <c r="G1022" s="2">
        <v>45879</v>
      </c>
      <c r="H1022" t="s">
        <v>41</v>
      </c>
      <c r="I1022" t="s">
        <v>54</v>
      </c>
      <c r="J1022" s="2">
        <v>45882</v>
      </c>
      <c r="K1022" s="2">
        <v>45883</v>
      </c>
      <c r="L1022" t="s">
        <v>26</v>
      </c>
      <c r="M1022" t="s">
        <v>57</v>
      </c>
      <c r="O1022" t="s">
        <v>37</v>
      </c>
      <c r="P1022" t="s">
        <v>88</v>
      </c>
      <c r="Q1022">
        <f t="shared" si="60"/>
        <v>0</v>
      </c>
      <c r="R1022" s="3">
        <f t="shared" si="61"/>
        <v>4</v>
      </c>
      <c r="S1022">
        <f t="shared" si="62"/>
        <v>0</v>
      </c>
      <c r="T1022">
        <f t="shared" si="63"/>
        <v>0</v>
      </c>
    </row>
    <row r="1023" spans="1:20" x14ac:dyDescent="0.25">
      <c r="A1023" t="s">
        <v>1089</v>
      </c>
      <c r="B1023">
        <v>1022</v>
      </c>
      <c r="C1023" t="s">
        <v>78</v>
      </c>
      <c r="D1023" t="s">
        <v>52</v>
      </c>
      <c r="E1023" t="s">
        <v>60</v>
      </c>
      <c r="F1023" s="2">
        <v>46003</v>
      </c>
      <c r="G1023" s="2">
        <v>46005</v>
      </c>
      <c r="H1023" t="s">
        <v>45</v>
      </c>
      <c r="I1023" t="s">
        <v>25</v>
      </c>
      <c r="J1023" s="2">
        <v>46009</v>
      </c>
      <c r="K1023" s="2">
        <v>46012</v>
      </c>
      <c r="L1023" t="s">
        <v>26</v>
      </c>
      <c r="M1023" t="s">
        <v>32</v>
      </c>
      <c r="N1023" t="s">
        <v>264</v>
      </c>
      <c r="O1023" t="s">
        <v>34</v>
      </c>
      <c r="Q1023">
        <f t="shared" si="60"/>
        <v>0</v>
      </c>
      <c r="R1023" s="3">
        <f t="shared" si="61"/>
        <v>6</v>
      </c>
      <c r="S1023">
        <f t="shared" si="62"/>
        <v>1</v>
      </c>
      <c r="T1023">
        <f t="shared" si="63"/>
        <v>0</v>
      </c>
    </row>
    <row r="1024" spans="1:20" x14ac:dyDescent="0.25">
      <c r="A1024" t="s">
        <v>1090</v>
      </c>
      <c r="B1024">
        <v>1023</v>
      </c>
      <c r="C1024" t="s">
        <v>78</v>
      </c>
      <c r="D1024" t="s">
        <v>39</v>
      </c>
      <c r="E1024" t="s">
        <v>23</v>
      </c>
      <c r="F1024" s="2">
        <v>45971</v>
      </c>
      <c r="G1024" s="2">
        <v>45972</v>
      </c>
      <c r="H1024" t="s">
        <v>31</v>
      </c>
      <c r="I1024" t="s">
        <v>54</v>
      </c>
      <c r="J1024" s="2">
        <v>45975</v>
      </c>
      <c r="K1024" s="2">
        <v>45975</v>
      </c>
      <c r="L1024" t="s">
        <v>26</v>
      </c>
      <c r="M1024" t="s">
        <v>57</v>
      </c>
      <c r="O1024" t="s">
        <v>28</v>
      </c>
      <c r="Q1024">
        <f t="shared" si="60"/>
        <v>1</v>
      </c>
      <c r="R1024" s="3">
        <f t="shared" si="61"/>
        <v>4</v>
      </c>
      <c r="S1024">
        <f t="shared" si="62"/>
        <v>0</v>
      </c>
      <c r="T1024">
        <f t="shared" si="63"/>
        <v>0</v>
      </c>
    </row>
    <row r="1025" spans="1:20" x14ac:dyDescent="0.25">
      <c r="A1025" t="s">
        <v>1091</v>
      </c>
      <c r="B1025">
        <v>1024</v>
      </c>
      <c r="C1025" t="s">
        <v>59</v>
      </c>
      <c r="D1025" t="s">
        <v>22</v>
      </c>
      <c r="E1025" t="s">
        <v>60</v>
      </c>
      <c r="F1025" s="2">
        <v>45795</v>
      </c>
      <c r="G1025" s="2">
        <v>45795</v>
      </c>
      <c r="H1025" t="s">
        <v>61</v>
      </c>
      <c r="I1025" t="s">
        <v>25</v>
      </c>
      <c r="J1025" s="2">
        <v>45801</v>
      </c>
      <c r="K1025" s="2">
        <v>45801</v>
      </c>
      <c r="L1025" t="s">
        <v>26</v>
      </c>
      <c r="M1025" t="s">
        <v>27</v>
      </c>
      <c r="O1025" t="s">
        <v>81</v>
      </c>
      <c r="Q1025">
        <f t="shared" si="60"/>
        <v>1</v>
      </c>
      <c r="R1025" s="3">
        <f t="shared" si="61"/>
        <v>6</v>
      </c>
      <c r="S1025">
        <f t="shared" si="62"/>
        <v>0</v>
      </c>
      <c r="T1025">
        <f t="shared" si="63"/>
        <v>0</v>
      </c>
    </row>
    <row r="1026" spans="1:20" x14ac:dyDescent="0.25">
      <c r="A1026" t="s">
        <v>1092</v>
      </c>
      <c r="B1026">
        <v>1025</v>
      </c>
      <c r="C1026" t="s">
        <v>51</v>
      </c>
      <c r="D1026" t="s">
        <v>52</v>
      </c>
      <c r="E1026" t="s">
        <v>53</v>
      </c>
      <c r="F1026" s="2">
        <v>45658</v>
      </c>
      <c r="G1026" s="2">
        <v>45659</v>
      </c>
      <c r="H1026" t="s">
        <v>24</v>
      </c>
      <c r="I1026" t="s">
        <v>42</v>
      </c>
      <c r="J1026" s="2">
        <v>45660</v>
      </c>
      <c r="K1026" s="2">
        <v>45660</v>
      </c>
      <c r="L1026" t="s">
        <v>26</v>
      </c>
      <c r="M1026" t="s">
        <v>27</v>
      </c>
      <c r="O1026" t="s">
        <v>37</v>
      </c>
      <c r="Q1026">
        <f t="shared" si="60"/>
        <v>1</v>
      </c>
      <c r="R1026" s="3">
        <f t="shared" si="61"/>
        <v>2</v>
      </c>
      <c r="S1026">
        <f t="shared" si="62"/>
        <v>0</v>
      </c>
      <c r="T1026">
        <f t="shared" si="63"/>
        <v>0</v>
      </c>
    </row>
    <row r="1027" spans="1:20" x14ac:dyDescent="0.25">
      <c r="A1027" t="s">
        <v>1093</v>
      </c>
      <c r="B1027">
        <v>1026</v>
      </c>
      <c r="C1027" t="s">
        <v>51</v>
      </c>
      <c r="D1027" t="s">
        <v>22</v>
      </c>
      <c r="E1027" t="s">
        <v>60</v>
      </c>
      <c r="F1027" s="2">
        <v>45926</v>
      </c>
      <c r="G1027" s="2">
        <v>45927</v>
      </c>
      <c r="H1027" t="s">
        <v>24</v>
      </c>
      <c r="I1027" t="s">
        <v>42</v>
      </c>
      <c r="J1027" s="2">
        <v>45930</v>
      </c>
      <c r="K1027" s="2">
        <v>45930</v>
      </c>
      <c r="L1027" t="s">
        <v>26</v>
      </c>
      <c r="M1027" t="s">
        <v>27</v>
      </c>
      <c r="O1027" t="s">
        <v>69</v>
      </c>
      <c r="Q1027">
        <f t="shared" ref="Q1027:Q1090" si="64">IF(K1027&lt;=J1027,1,0)</f>
        <v>1</v>
      </c>
      <c r="R1027" s="3">
        <f t="shared" ref="R1027:R1090" si="65">(J1027-F1027)</f>
        <v>4</v>
      </c>
      <c r="S1027">
        <f t="shared" ref="S1027:S1090" si="66">IF(M1027="Delayed",1,0)</f>
        <v>0</v>
      </c>
      <c r="T1027">
        <f t="shared" ref="T1027:T1090" si="67">IF(L1027="n",1,0)</f>
        <v>0</v>
      </c>
    </row>
    <row r="1028" spans="1:20" x14ac:dyDescent="0.25">
      <c r="A1028" t="s">
        <v>1094</v>
      </c>
      <c r="B1028">
        <v>1027</v>
      </c>
      <c r="C1028" t="s">
        <v>59</v>
      </c>
      <c r="D1028" t="s">
        <v>39</v>
      </c>
      <c r="E1028" t="s">
        <v>23</v>
      </c>
      <c r="F1028" s="2">
        <v>45886</v>
      </c>
      <c r="G1028" s="2">
        <v>45887</v>
      </c>
      <c r="H1028" t="s">
        <v>61</v>
      </c>
      <c r="I1028" t="s">
        <v>42</v>
      </c>
      <c r="J1028" s="2">
        <v>45890</v>
      </c>
      <c r="K1028" s="2">
        <v>45890</v>
      </c>
      <c r="L1028" t="s">
        <v>46</v>
      </c>
      <c r="M1028" t="s">
        <v>27</v>
      </c>
      <c r="O1028" t="s">
        <v>37</v>
      </c>
      <c r="Q1028">
        <f t="shared" si="64"/>
        <v>1</v>
      </c>
      <c r="R1028" s="3">
        <f t="shared" si="65"/>
        <v>4</v>
      </c>
      <c r="S1028">
        <f t="shared" si="66"/>
        <v>0</v>
      </c>
      <c r="T1028">
        <f t="shared" si="67"/>
        <v>1</v>
      </c>
    </row>
    <row r="1029" spans="1:20" x14ac:dyDescent="0.25">
      <c r="A1029" t="s">
        <v>1095</v>
      </c>
      <c r="B1029">
        <v>1028</v>
      </c>
      <c r="C1029" t="s">
        <v>51</v>
      </c>
      <c r="D1029" t="s">
        <v>64</v>
      </c>
      <c r="E1029" t="s">
        <v>60</v>
      </c>
      <c r="F1029" s="2">
        <v>45759</v>
      </c>
      <c r="G1029" s="2">
        <v>45759</v>
      </c>
      <c r="H1029" t="s">
        <v>41</v>
      </c>
      <c r="I1029" t="s">
        <v>73</v>
      </c>
      <c r="J1029" s="2">
        <v>45764</v>
      </c>
      <c r="K1029" s="2">
        <v>45764</v>
      </c>
      <c r="L1029" t="s">
        <v>26</v>
      </c>
      <c r="M1029" t="s">
        <v>27</v>
      </c>
      <c r="O1029" t="s">
        <v>37</v>
      </c>
      <c r="Q1029">
        <f t="shared" si="64"/>
        <v>1</v>
      </c>
      <c r="R1029" s="3">
        <f t="shared" si="65"/>
        <v>5</v>
      </c>
      <c r="S1029">
        <f t="shared" si="66"/>
        <v>0</v>
      </c>
      <c r="T1029">
        <f t="shared" si="67"/>
        <v>0</v>
      </c>
    </row>
    <row r="1030" spans="1:20" x14ac:dyDescent="0.25">
      <c r="A1030" t="s">
        <v>1096</v>
      </c>
      <c r="B1030">
        <v>1029</v>
      </c>
      <c r="C1030" t="s">
        <v>59</v>
      </c>
      <c r="D1030" t="s">
        <v>22</v>
      </c>
      <c r="E1030" t="s">
        <v>60</v>
      </c>
      <c r="F1030" s="2">
        <v>45915</v>
      </c>
      <c r="G1030" s="2">
        <v>45917</v>
      </c>
      <c r="H1030" t="s">
        <v>24</v>
      </c>
      <c r="I1030" t="s">
        <v>25</v>
      </c>
      <c r="J1030" s="2">
        <v>45918</v>
      </c>
      <c r="K1030" s="2">
        <v>45918</v>
      </c>
      <c r="L1030" t="s">
        <v>46</v>
      </c>
      <c r="M1030" t="s">
        <v>57</v>
      </c>
      <c r="O1030" t="s">
        <v>43</v>
      </c>
      <c r="Q1030">
        <f t="shared" si="64"/>
        <v>1</v>
      </c>
      <c r="R1030" s="3">
        <f t="shared" si="65"/>
        <v>3</v>
      </c>
      <c r="S1030">
        <f t="shared" si="66"/>
        <v>0</v>
      </c>
      <c r="T1030">
        <f t="shared" si="67"/>
        <v>1</v>
      </c>
    </row>
    <row r="1031" spans="1:20" x14ac:dyDescent="0.25">
      <c r="A1031" t="s">
        <v>1097</v>
      </c>
      <c r="B1031">
        <v>1030</v>
      </c>
      <c r="C1031" t="s">
        <v>36</v>
      </c>
      <c r="D1031" t="s">
        <v>39</v>
      </c>
      <c r="E1031" t="s">
        <v>60</v>
      </c>
      <c r="F1031" s="2">
        <v>46014</v>
      </c>
      <c r="G1031" s="2">
        <v>46015</v>
      </c>
      <c r="H1031" t="s">
        <v>24</v>
      </c>
      <c r="I1031" t="s">
        <v>62</v>
      </c>
      <c r="J1031" s="2">
        <v>46017</v>
      </c>
      <c r="K1031" s="2">
        <v>46018</v>
      </c>
      <c r="L1031" t="s">
        <v>26</v>
      </c>
      <c r="M1031" t="s">
        <v>32</v>
      </c>
      <c r="N1031" t="s">
        <v>264</v>
      </c>
      <c r="O1031" t="s">
        <v>81</v>
      </c>
      <c r="P1031" t="s">
        <v>88</v>
      </c>
      <c r="Q1031">
        <f t="shared" si="64"/>
        <v>0</v>
      </c>
      <c r="R1031" s="3">
        <f t="shared" si="65"/>
        <v>3</v>
      </c>
      <c r="S1031">
        <f t="shared" si="66"/>
        <v>1</v>
      </c>
      <c r="T1031">
        <f t="shared" si="67"/>
        <v>0</v>
      </c>
    </row>
    <row r="1032" spans="1:20" x14ac:dyDescent="0.25">
      <c r="A1032" t="s">
        <v>1098</v>
      </c>
      <c r="B1032">
        <v>1031</v>
      </c>
      <c r="C1032" t="s">
        <v>59</v>
      </c>
      <c r="D1032" t="s">
        <v>52</v>
      </c>
      <c r="E1032" t="s">
        <v>60</v>
      </c>
      <c r="F1032" s="2">
        <v>45740</v>
      </c>
      <c r="G1032" s="2">
        <v>45740</v>
      </c>
      <c r="H1032" t="s">
        <v>41</v>
      </c>
      <c r="I1032" t="s">
        <v>62</v>
      </c>
      <c r="J1032" s="2">
        <v>45744</v>
      </c>
      <c r="K1032" s="2">
        <v>45744</v>
      </c>
      <c r="L1032" t="s">
        <v>46</v>
      </c>
      <c r="M1032" t="s">
        <v>27</v>
      </c>
      <c r="O1032" t="s">
        <v>37</v>
      </c>
      <c r="Q1032">
        <f t="shared" si="64"/>
        <v>1</v>
      </c>
      <c r="R1032" s="3">
        <f t="shared" si="65"/>
        <v>4</v>
      </c>
      <c r="S1032">
        <f t="shared" si="66"/>
        <v>0</v>
      </c>
      <c r="T1032">
        <f t="shared" si="67"/>
        <v>1</v>
      </c>
    </row>
    <row r="1033" spans="1:20" x14ac:dyDescent="0.25">
      <c r="A1033" t="s">
        <v>1099</v>
      </c>
      <c r="B1033">
        <v>1032</v>
      </c>
      <c r="C1033" t="s">
        <v>78</v>
      </c>
      <c r="D1033" t="s">
        <v>30</v>
      </c>
      <c r="E1033" t="s">
        <v>56</v>
      </c>
      <c r="F1033" s="2">
        <v>45793</v>
      </c>
      <c r="G1033" s="2">
        <v>45794</v>
      </c>
      <c r="H1033" t="s">
        <v>45</v>
      </c>
      <c r="I1033" t="s">
        <v>73</v>
      </c>
      <c r="J1033" s="2">
        <v>45798</v>
      </c>
      <c r="K1033" s="2">
        <v>45798</v>
      </c>
      <c r="L1033" t="s">
        <v>26</v>
      </c>
      <c r="M1033" t="s">
        <v>27</v>
      </c>
      <c r="O1033" t="s">
        <v>28</v>
      </c>
      <c r="Q1033">
        <f t="shared" si="64"/>
        <v>1</v>
      </c>
      <c r="R1033" s="3">
        <f t="shared" si="65"/>
        <v>5</v>
      </c>
      <c r="S1033">
        <f t="shared" si="66"/>
        <v>0</v>
      </c>
      <c r="T1033">
        <f t="shared" si="67"/>
        <v>0</v>
      </c>
    </row>
    <row r="1034" spans="1:20" x14ac:dyDescent="0.25">
      <c r="A1034" t="s">
        <v>1100</v>
      </c>
      <c r="B1034">
        <v>1033</v>
      </c>
      <c r="C1034" t="s">
        <v>51</v>
      </c>
      <c r="D1034" t="s">
        <v>39</v>
      </c>
      <c r="E1034" t="s">
        <v>56</v>
      </c>
      <c r="F1034" s="2">
        <v>45974</v>
      </c>
      <c r="G1034" s="2">
        <v>45976</v>
      </c>
      <c r="H1034" t="s">
        <v>24</v>
      </c>
      <c r="I1034" t="s">
        <v>73</v>
      </c>
      <c r="J1034" s="2">
        <v>45978</v>
      </c>
      <c r="K1034" s="2">
        <v>45978</v>
      </c>
      <c r="L1034" t="s">
        <v>26</v>
      </c>
      <c r="M1034" t="s">
        <v>27</v>
      </c>
      <c r="O1034" t="s">
        <v>37</v>
      </c>
      <c r="Q1034">
        <f t="shared" si="64"/>
        <v>1</v>
      </c>
      <c r="R1034" s="3">
        <f t="shared" si="65"/>
        <v>4</v>
      </c>
      <c r="S1034">
        <f t="shared" si="66"/>
        <v>0</v>
      </c>
      <c r="T1034">
        <f t="shared" si="67"/>
        <v>0</v>
      </c>
    </row>
    <row r="1035" spans="1:20" x14ac:dyDescent="0.25">
      <c r="A1035" t="s">
        <v>1101</v>
      </c>
      <c r="B1035">
        <v>1034</v>
      </c>
      <c r="C1035" t="s">
        <v>78</v>
      </c>
      <c r="D1035" t="s">
        <v>30</v>
      </c>
      <c r="E1035" t="s">
        <v>23</v>
      </c>
      <c r="F1035" s="2">
        <v>45718</v>
      </c>
      <c r="G1035" s="2">
        <v>45718</v>
      </c>
      <c r="H1035" t="s">
        <v>24</v>
      </c>
      <c r="I1035" t="s">
        <v>73</v>
      </c>
      <c r="J1035" s="2">
        <v>45722</v>
      </c>
      <c r="K1035" s="2">
        <v>45722</v>
      </c>
      <c r="L1035" t="s">
        <v>26</v>
      </c>
      <c r="M1035" t="s">
        <v>27</v>
      </c>
      <c r="O1035" t="s">
        <v>81</v>
      </c>
      <c r="Q1035">
        <f t="shared" si="64"/>
        <v>1</v>
      </c>
      <c r="R1035" s="3">
        <f t="shared" si="65"/>
        <v>4</v>
      </c>
      <c r="S1035">
        <f t="shared" si="66"/>
        <v>0</v>
      </c>
      <c r="T1035">
        <f t="shared" si="67"/>
        <v>0</v>
      </c>
    </row>
    <row r="1036" spans="1:20" x14ac:dyDescent="0.25">
      <c r="A1036" t="s">
        <v>1102</v>
      </c>
      <c r="B1036">
        <v>1035</v>
      </c>
      <c r="C1036" t="s">
        <v>51</v>
      </c>
      <c r="D1036" t="s">
        <v>22</v>
      </c>
      <c r="E1036" t="s">
        <v>53</v>
      </c>
      <c r="F1036" s="2">
        <v>45724</v>
      </c>
      <c r="G1036" s="2">
        <v>45725</v>
      </c>
      <c r="H1036" t="s">
        <v>61</v>
      </c>
      <c r="I1036" t="s">
        <v>85</v>
      </c>
      <c r="J1036" s="2">
        <v>45726</v>
      </c>
      <c r="K1036" s="2">
        <v>45726</v>
      </c>
      <c r="L1036" t="s">
        <v>26</v>
      </c>
      <c r="M1036" t="s">
        <v>57</v>
      </c>
      <c r="O1036" t="s">
        <v>37</v>
      </c>
      <c r="Q1036">
        <f t="shared" si="64"/>
        <v>1</v>
      </c>
      <c r="R1036" s="3">
        <f t="shared" si="65"/>
        <v>2</v>
      </c>
      <c r="S1036">
        <f t="shared" si="66"/>
        <v>0</v>
      </c>
      <c r="T1036">
        <f t="shared" si="67"/>
        <v>0</v>
      </c>
    </row>
    <row r="1037" spans="1:20" x14ac:dyDescent="0.25">
      <c r="A1037" t="s">
        <v>1103</v>
      </c>
      <c r="B1037">
        <v>1036</v>
      </c>
      <c r="C1037" t="s">
        <v>36</v>
      </c>
      <c r="D1037" t="s">
        <v>64</v>
      </c>
      <c r="E1037" t="s">
        <v>53</v>
      </c>
      <c r="F1037" s="2">
        <v>45734</v>
      </c>
      <c r="G1037" s="2">
        <v>45735</v>
      </c>
      <c r="H1037" t="s">
        <v>24</v>
      </c>
      <c r="I1037" t="s">
        <v>54</v>
      </c>
      <c r="J1037" s="2">
        <v>45738</v>
      </c>
      <c r="K1037" s="2">
        <v>45738</v>
      </c>
      <c r="L1037" t="s">
        <v>46</v>
      </c>
      <c r="M1037" t="s">
        <v>57</v>
      </c>
      <c r="O1037" t="s">
        <v>28</v>
      </c>
      <c r="Q1037">
        <f t="shared" si="64"/>
        <v>1</v>
      </c>
      <c r="R1037" s="3">
        <f t="shared" si="65"/>
        <v>4</v>
      </c>
      <c r="S1037">
        <f t="shared" si="66"/>
        <v>0</v>
      </c>
      <c r="T1037">
        <f t="shared" si="67"/>
        <v>1</v>
      </c>
    </row>
    <row r="1038" spans="1:20" x14ac:dyDescent="0.25">
      <c r="A1038" t="s">
        <v>1104</v>
      </c>
      <c r="B1038">
        <v>1037</v>
      </c>
      <c r="C1038" t="s">
        <v>36</v>
      </c>
      <c r="D1038" t="s">
        <v>22</v>
      </c>
      <c r="E1038" t="s">
        <v>23</v>
      </c>
      <c r="F1038" s="2">
        <v>45979</v>
      </c>
      <c r="G1038" s="2">
        <v>45981</v>
      </c>
      <c r="H1038" t="s">
        <v>31</v>
      </c>
      <c r="I1038" t="s">
        <v>83</v>
      </c>
      <c r="J1038" s="2">
        <v>45982</v>
      </c>
      <c r="K1038" s="2">
        <v>45982</v>
      </c>
      <c r="L1038" t="s">
        <v>26</v>
      </c>
      <c r="M1038" t="s">
        <v>27</v>
      </c>
      <c r="O1038" t="s">
        <v>37</v>
      </c>
      <c r="Q1038">
        <f t="shared" si="64"/>
        <v>1</v>
      </c>
      <c r="R1038" s="3">
        <f t="shared" si="65"/>
        <v>3</v>
      </c>
      <c r="S1038">
        <f t="shared" si="66"/>
        <v>0</v>
      </c>
      <c r="T1038">
        <f t="shared" si="67"/>
        <v>0</v>
      </c>
    </row>
    <row r="1039" spans="1:20" x14ac:dyDescent="0.25">
      <c r="A1039" t="s">
        <v>1105</v>
      </c>
      <c r="B1039">
        <v>1038</v>
      </c>
      <c r="C1039" t="s">
        <v>59</v>
      </c>
      <c r="D1039" t="s">
        <v>22</v>
      </c>
      <c r="E1039" t="s">
        <v>40</v>
      </c>
      <c r="F1039" s="2">
        <v>45700</v>
      </c>
      <c r="G1039" s="2">
        <v>45700</v>
      </c>
      <c r="H1039" t="s">
        <v>24</v>
      </c>
      <c r="I1039" t="s">
        <v>25</v>
      </c>
      <c r="J1039" s="2">
        <v>45704</v>
      </c>
      <c r="K1039" s="2">
        <v>45704</v>
      </c>
      <c r="L1039" t="s">
        <v>26</v>
      </c>
      <c r="M1039" t="s">
        <v>57</v>
      </c>
      <c r="O1039" t="s">
        <v>34</v>
      </c>
      <c r="Q1039">
        <f t="shared" si="64"/>
        <v>1</v>
      </c>
      <c r="R1039" s="3">
        <f t="shared" si="65"/>
        <v>4</v>
      </c>
      <c r="S1039">
        <f t="shared" si="66"/>
        <v>0</v>
      </c>
      <c r="T1039">
        <f t="shared" si="67"/>
        <v>0</v>
      </c>
    </row>
    <row r="1040" spans="1:20" x14ac:dyDescent="0.25">
      <c r="A1040" t="s">
        <v>1106</v>
      </c>
      <c r="B1040">
        <v>1039</v>
      </c>
      <c r="C1040" t="s">
        <v>51</v>
      </c>
      <c r="D1040" t="s">
        <v>30</v>
      </c>
      <c r="E1040" t="s">
        <v>56</v>
      </c>
      <c r="F1040" s="2">
        <v>45702</v>
      </c>
      <c r="G1040" s="2">
        <v>45702</v>
      </c>
      <c r="H1040" t="s">
        <v>24</v>
      </c>
      <c r="I1040" t="s">
        <v>62</v>
      </c>
      <c r="J1040" s="2">
        <v>45703</v>
      </c>
      <c r="K1040" s="2">
        <v>45703</v>
      </c>
      <c r="L1040" t="s">
        <v>26</v>
      </c>
      <c r="M1040" t="s">
        <v>57</v>
      </c>
      <c r="O1040" t="s">
        <v>28</v>
      </c>
      <c r="Q1040">
        <f t="shared" si="64"/>
        <v>1</v>
      </c>
      <c r="R1040" s="3">
        <f t="shared" si="65"/>
        <v>1</v>
      </c>
      <c r="S1040">
        <f t="shared" si="66"/>
        <v>0</v>
      </c>
      <c r="T1040">
        <f t="shared" si="67"/>
        <v>0</v>
      </c>
    </row>
    <row r="1041" spans="1:20" x14ac:dyDescent="0.25">
      <c r="A1041" t="s">
        <v>1107</v>
      </c>
      <c r="B1041">
        <v>1040</v>
      </c>
      <c r="C1041" t="s">
        <v>51</v>
      </c>
      <c r="D1041" t="s">
        <v>39</v>
      </c>
      <c r="E1041" t="s">
        <v>56</v>
      </c>
      <c r="F1041" s="2">
        <v>45909</v>
      </c>
      <c r="G1041" s="2">
        <v>45910</v>
      </c>
      <c r="H1041" t="s">
        <v>24</v>
      </c>
      <c r="I1041" t="s">
        <v>42</v>
      </c>
      <c r="J1041" s="2">
        <v>45911</v>
      </c>
      <c r="K1041" s="2">
        <v>45912</v>
      </c>
      <c r="L1041" t="s">
        <v>46</v>
      </c>
      <c r="M1041" t="s">
        <v>27</v>
      </c>
      <c r="O1041" t="s">
        <v>81</v>
      </c>
      <c r="P1041" t="s">
        <v>93</v>
      </c>
      <c r="Q1041">
        <f t="shared" si="64"/>
        <v>0</v>
      </c>
      <c r="R1041" s="3">
        <f t="shared" si="65"/>
        <v>2</v>
      </c>
      <c r="S1041">
        <f t="shared" si="66"/>
        <v>0</v>
      </c>
      <c r="T1041">
        <f t="shared" si="67"/>
        <v>1</v>
      </c>
    </row>
    <row r="1042" spans="1:20" x14ac:dyDescent="0.25">
      <c r="A1042" t="s">
        <v>1108</v>
      </c>
      <c r="B1042">
        <v>1041</v>
      </c>
      <c r="C1042" t="s">
        <v>36</v>
      </c>
      <c r="D1042" t="s">
        <v>64</v>
      </c>
      <c r="E1042" t="s">
        <v>60</v>
      </c>
      <c r="F1042" s="2">
        <v>45972</v>
      </c>
      <c r="G1042" s="2">
        <v>45972</v>
      </c>
      <c r="H1042" t="s">
        <v>24</v>
      </c>
      <c r="I1042" t="s">
        <v>54</v>
      </c>
      <c r="J1042" s="2">
        <v>45973</v>
      </c>
      <c r="K1042" s="2">
        <v>45973</v>
      </c>
      <c r="L1042" t="s">
        <v>26</v>
      </c>
      <c r="M1042" t="s">
        <v>57</v>
      </c>
      <c r="O1042" t="s">
        <v>69</v>
      </c>
      <c r="Q1042">
        <f t="shared" si="64"/>
        <v>1</v>
      </c>
      <c r="R1042" s="3">
        <f t="shared" si="65"/>
        <v>1</v>
      </c>
      <c r="S1042">
        <f t="shared" si="66"/>
        <v>0</v>
      </c>
      <c r="T1042">
        <f t="shared" si="67"/>
        <v>0</v>
      </c>
    </row>
    <row r="1043" spans="1:20" x14ac:dyDescent="0.25">
      <c r="A1043" t="s">
        <v>1109</v>
      </c>
      <c r="B1043">
        <v>1042</v>
      </c>
      <c r="C1043" t="s">
        <v>51</v>
      </c>
      <c r="D1043" t="s">
        <v>39</v>
      </c>
      <c r="E1043" t="s">
        <v>56</v>
      </c>
      <c r="F1043" s="2">
        <v>45932</v>
      </c>
      <c r="G1043" s="2">
        <v>45932</v>
      </c>
      <c r="H1043" t="s">
        <v>41</v>
      </c>
      <c r="I1043" t="s">
        <v>73</v>
      </c>
      <c r="J1043" s="2">
        <v>45936</v>
      </c>
      <c r="K1043" s="2">
        <v>45936</v>
      </c>
      <c r="L1043" t="s">
        <v>26</v>
      </c>
      <c r="M1043" t="s">
        <v>27</v>
      </c>
      <c r="O1043" t="s">
        <v>81</v>
      </c>
      <c r="Q1043">
        <f t="shared" si="64"/>
        <v>1</v>
      </c>
      <c r="R1043" s="3">
        <f t="shared" si="65"/>
        <v>4</v>
      </c>
      <c r="S1043">
        <f t="shared" si="66"/>
        <v>0</v>
      </c>
      <c r="T1043">
        <f t="shared" si="67"/>
        <v>0</v>
      </c>
    </row>
    <row r="1044" spans="1:20" x14ac:dyDescent="0.25">
      <c r="A1044" t="s">
        <v>1110</v>
      </c>
      <c r="B1044">
        <v>1043</v>
      </c>
      <c r="C1044" t="s">
        <v>78</v>
      </c>
      <c r="D1044" t="s">
        <v>22</v>
      </c>
      <c r="E1044" t="s">
        <v>53</v>
      </c>
      <c r="F1044" s="2">
        <v>45848</v>
      </c>
      <c r="G1044" s="2">
        <v>45849</v>
      </c>
      <c r="H1044" t="s">
        <v>24</v>
      </c>
      <c r="I1044" t="s">
        <v>73</v>
      </c>
      <c r="J1044" s="2">
        <v>45850</v>
      </c>
      <c r="K1044" s="2">
        <v>45851</v>
      </c>
      <c r="L1044" t="s">
        <v>26</v>
      </c>
      <c r="M1044" t="s">
        <v>27</v>
      </c>
      <c r="O1044" t="s">
        <v>43</v>
      </c>
      <c r="Q1044">
        <f t="shared" si="64"/>
        <v>0</v>
      </c>
      <c r="R1044" s="3">
        <f t="shared" si="65"/>
        <v>2</v>
      </c>
      <c r="S1044">
        <f t="shared" si="66"/>
        <v>0</v>
      </c>
      <c r="T1044">
        <f t="shared" si="67"/>
        <v>0</v>
      </c>
    </row>
    <row r="1045" spans="1:20" x14ac:dyDescent="0.25">
      <c r="A1045" t="s">
        <v>1111</v>
      </c>
      <c r="B1045">
        <v>1044</v>
      </c>
      <c r="C1045" t="s">
        <v>78</v>
      </c>
      <c r="D1045" t="s">
        <v>64</v>
      </c>
      <c r="E1045" t="s">
        <v>40</v>
      </c>
      <c r="F1045" s="2">
        <v>46009</v>
      </c>
      <c r="G1045" s="2">
        <v>46010</v>
      </c>
      <c r="H1045" t="s">
        <v>41</v>
      </c>
      <c r="I1045" t="s">
        <v>42</v>
      </c>
      <c r="J1045" s="2">
        <v>46012</v>
      </c>
      <c r="K1045" s="2">
        <v>46012</v>
      </c>
      <c r="L1045" t="s">
        <v>26</v>
      </c>
      <c r="M1045" t="s">
        <v>27</v>
      </c>
      <c r="O1045" t="s">
        <v>28</v>
      </c>
      <c r="P1045" t="s">
        <v>76</v>
      </c>
      <c r="Q1045">
        <f t="shared" si="64"/>
        <v>1</v>
      </c>
      <c r="R1045" s="3">
        <f t="shared" si="65"/>
        <v>3</v>
      </c>
      <c r="S1045">
        <f t="shared" si="66"/>
        <v>0</v>
      </c>
      <c r="T1045">
        <f t="shared" si="67"/>
        <v>0</v>
      </c>
    </row>
    <row r="1046" spans="1:20" x14ac:dyDescent="0.25">
      <c r="A1046" t="s">
        <v>1112</v>
      </c>
      <c r="B1046">
        <v>1045</v>
      </c>
      <c r="C1046" t="s">
        <v>59</v>
      </c>
      <c r="D1046" t="s">
        <v>30</v>
      </c>
      <c r="E1046" t="s">
        <v>60</v>
      </c>
      <c r="F1046" s="2">
        <v>45727</v>
      </c>
      <c r="G1046" s="2">
        <v>45729</v>
      </c>
      <c r="H1046" t="s">
        <v>31</v>
      </c>
      <c r="I1046" t="s">
        <v>25</v>
      </c>
      <c r="J1046" s="2">
        <v>45733</v>
      </c>
      <c r="K1046" s="2">
        <v>45733</v>
      </c>
      <c r="L1046" t="s">
        <v>46</v>
      </c>
      <c r="M1046" t="s">
        <v>27</v>
      </c>
      <c r="O1046" t="s">
        <v>28</v>
      </c>
      <c r="P1046" t="s">
        <v>93</v>
      </c>
      <c r="Q1046">
        <f t="shared" si="64"/>
        <v>1</v>
      </c>
      <c r="R1046" s="3">
        <f t="shared" si="65"/>
        <v>6</v>
      </c>
      <c r="S1046">
        <f t="shared" si="66"/>
        <v>0</v>
      </c>
      <c r="T1046">
        <f t="shared" si="67"/>
        <v>1</v>
      </c>
    </row>
    <row r="1047" spans="1:20" x14ac:dyDescent="0.25">
      <c r="A1047" t="s">
        <v>1113</v>
      </c>
      <c r="B1047">
        <v>1046</v>
      </c>
      <c r="C1047" t="s">
        <v>51</v>
      </c>
      <c r="D1047" t="s">
        <v>64</v>
      </c>
      <c r="E1047" t="s">
        <v>60</v>
      </c>
      <c r="F1047" s="2">
        <v>45860</v>
      </c>
      <c r="G1047" s="2">
        <v>45862</v>
      </c>
      <c r="H1047" t="s">
        <v>61</v>
      </c>
      <c r="I1047" t="s">
        <v>73</v>
      </c>
      <c r="J1047" s="2">
        <v>45863</v>
      </c>
      <c r="K1047" s="2">
        <v>45863</v>
      </c>
      <c r="L1047" t="s">
        <v>26</v>
      </c>
      <c r="M1047" t="s">
        <v>27</v>
      </c>
      <c r="O1047" t="s">
        <v>43</v>
      </c>
      <c r="Q1047">
        <f t="shared" si="64"/>
        <v>1</v>
      </c>
      <c r="R1047" s="3">
        <f t="shared" si="65"/>
        <v>3</v>
      </c>
      <c r="S1047">
        <f t="shared" si="66"/>
        <v>0</v>
      </c>
      <c r="T1047">
        <f t="shared" si="67"/>
        <v>0</v>
      </c>
    </row>
    <row r="1048" spans="1:20" x14ac:dyDescent="0.25">
      <c r="A1048" t="s">
        <v>1114</v>
      </c>
      <c r="B1048">
        <v>1047</v>
      </c>
      <c r="C1048" t="s">
        <v>21</v>
      </c>
      <c r="D1048" t="s">
        <v>30</v>
      </c>
      <c r="E1048" t="s">
        <v>60</v>
      </c>
      <c r="F1048" s="2">
        <v>45810</v>
      </c>
      <c r="G1048" s="2">
        <v>45810</v>
      </c>
      <c r="H1048" t="s">
        <v>45</v>
      </c>
      <c r="I1048" t="s">
        <v>83</v>
      </c>
      <c r="J1048" s="2">
        <v>45814</v>
      </c>
      <c r="K1048" s="2">
        <v>45814</v>
      </c>
      <c r="L1048" t="s">
        <v>26</v>
      </c>
      <c r="M1048" t="s">
        <v>57</v>
      </c>
      <c r="O1048" t="s">
        <v>34</v>
      </c>
      <c r="Q1048">
        <f t="shared" si="64"/>
        <v>1</v>
      </c>
      <c r="R1048" s="3">
        <f t="shared" si="65"/>
        <v>4</v>
      </c>
      <c r="S1048">
        <f t="shared" si="66"/>
        <v>0</v>
      </c>
      <c r="T1048">
        <f t="shared" si="67"/>
        <v>0</v>
      </c>
    </row>
    <row r="1049" spans="1:20" x14ac:dyDescent="0.25">
      <c r="A1049" t="s">
        <v>1115</v>
      </c>
      <c r="B1049">
        <v>1048</v>
      </c>
      <c r="C1049" t="s">
        <v>59</v>
      </c>
      <c r="D1049" t="s">
        <v>64</v>
      </c>
      <c r="E1049" t="s">
        <v>60</v>
      </c>
      <c r="F1049" s="2">
        <v>45889</v>
      </c>
      <c r="G1049" s="2">
        <v>45890</v>
      </c>
      <c r="H1049" t="s">
        <v>41</v>
      </c>
      <c r="I1049" t="s">
        <v>25</v>
      </c>
      <c r="J1049" s="2">
        <v>45894</v>
      </c>
      <c r="K1049" s="2">
        <v>45895</v>
      </c>
      <c r="L1049" t="s">
        <v>26</v>
      </c>
      <c r="M1049" t="s">
        <v>57</v>
      </c>
      <c r="O1049" t="s">
        <v>81</v>
      </c>
      <c r="Q1049">
        <f t="shared" si="64"/>
        <v>0</v>
      </c>
      <c r="R1049" s="3">
        <f t="shared" si="65"/>
        <v>5</v>
      </c>
      <c r="S1049">
        <f t="shared" si="66"/>
        <v>0</v>
      </c>
      <c r="T1049">
        <f t="shared" si="67"/>
        <v>0</v>
      </c>
    </row>
    <row r="1050" spans="1:20" x14ac:dyDescent="0.25">
      <c r="A1050" t="s">
        <v>1116</v>
      </c>
      <c r="B1050">
        <v>1049</v>
      </c>
      <c r="C1050" t="s">
        <v>51</v>
      </c>
      <c r="D1050" t="s">
        <v>52</v>
      </c>
      <c r="E1050" t="s">
        <v>60</v>
      </c>
      <c r="F1050" s="2">
        <v>45736</v>
      </c>
      <c r="G1050" s="2">
        <v>45738</v>
      </c>
      <c r="H1050" t="s">
        <v>24</v>
      </c>
      <c r="I1050" t="s">
        <v>83</v>
      </c>
      <c r="J1050" s="2">
        <v>45744</v>
      </c>
      <c r="K1050" s="2">
        <v>45744</v>
      </c>
      <c r="L1050" t="s">
        <v>26</v>
      </c>
      <c r="M1050" t="s">
        <v>57</v>
      </c>
      <c r="O1050" t="s">
        <v>81</v>
      </c>
      <c r="Q1050">
        <f t="shared" si="64"/>
        <v>1</v>
      </c>
      <c r="R1050" s="3">
        <f t="shared" si="65"/>
        <v>8</v>
      </c>
      <c r="S1050">
        <f t="shared" si="66"/>
        <v>0</v>
      </c>
      <c r="T1050">
        <f t="shared" si="67"/>
        <v>0</v>
      </c>
    </row>
    <row r="1051" spans="1:20" x14ac:dyDescent="0.25">
      <c r="A1051" t="s">
        <v>1117</v>
      </c>
      <c r="B1051">
        <v>1050</v>
      </c>
      <c r="C1051" t="s">
        <v>36</v>
      </c>
      <c r="D1051" t="s">
        <v>39</v>
      </c>
      <c r="E1051" t="s">
        <v>23</v>
      </c>
      <c r="F1051" s="2">
        <v>45718</v>
      </c>
      <c r="G1051" s="2">
        <v>45720</v>
      </c>
      <c r="H1051" t="s">
        <v>45</v>
      </c>
      <c r="I1051" t="s">
        <v>25</v>
      </c>
      <c r="J1051" s="2">
        <v>45724</v>
      </c>
      <c r="K1051" s="2">
        <v>45728</v>
      </c>
      <c r="L1051" t="s">
        <v>46</v>
      </c>
      <c r="M1051" t="s">
        <v>32</v>
      </c>
      <c r="N1051" t="s">
        <v>33</v>
      </c>
      <c r="O1051" t="s">
        <v>28</v>
      </c>
      <c r="P1051" t="s">
        <v>93</v>
      </c>
      <c r="Q1051">
        <f t="shared" si="64"/>
        <v>0</v>
      </c>
      <c r="R1051" s="3">
        <f t="shared" si="65"/>
        <v>6</v>
      </c>
      <c r="S1051">
        <f t="shared" si="66"/>
        <v>1</v>
      </c>
      <c r="T1051">
        <f t="shared" si="67"/>
        <v>1</v>
      </c>
    </row>
    <row r="1052" spans="1:20" x14ac:dyDescent="0.25">
      <c r="A1052" t="s">
        <v>1118</v>
      </c>
      <c r="B1052">
        <v>1051</v>
      </c>
      <c r="C1052" t="s">
        <v>78</v>
      </c>
      <c r="D1052" t="s">
        <v>30</v>
      </c>
      <c r="E1052" t="s">
        <v>23</v>
      </c>
      <c r="F1052" s="2">
        <v>45993</v>
      </c>
      <c r="G1052" s="2">
        <v>45994</v>
      </c>
      <c r="H1052" t="s">
        <v>41</v>
      </c>
      <c r="I1052" t="s">
        <v>73</v>
      </c>
      <c r="J1052" s="2">
        <v>45998</v>
      </c>
      <c r="K1052" s="2">
        <v>45998</v>
      </c>
      <c r="L1052" t="s">
        <v>26</v>
      </c>
      <c r="M1052" t="s">
        <v>57</v>
      </c>
      <c r="O1052" t="s">
        <v>37</v>
      </c>
      <c r="Q1052">
        <f t="shared" si="64"/>
        <v>1</v>
      </c>
      <c r="R1052" s="3">
        <f t="shared" si="65"/>
        <v>5</v>
      </c>
      <c r="S1052">
        <f t="shared" si="66"/>
        <v>0</v>
      </c>
      <c r="T1052">
        <f t="shared" si="67"/>
        <v>0</v>
      </c>
    </row>
    <row r="1053" spans="1:20" x14ac:dyDescent="0.25">
      <c r="A1053" t="s">
        <v>1119</v>
      </c>
      <c r="B1053">
        <v>1052</v>
      </c>
      <c r="C1053" t="s">
        <v>78</v>
      </c>
      <c r="D1053" t="s">
        <v>39</v>
      </c>
      <c r="E1053" t="s">
        <v>23</v>
      </c>
      <c r="F1053" s="2">
        <v>45798</v>
      </c>
      <c r="G1053" s="2">
        <v>45800</v>
      </c>
      <c r="H1053" t="s">
        <v>31</v>
      </c>
      <c r="I1053" t="s">
        <v>85</v>
      </c>
      <c r="J1053" s="2">
        <v>45804</v>
      </c>
      <c r="K1053" s="2">
        <v>45806</v>
      </c>
      <c r="L1053" t="s">
        <v>46</v>
      </c>
      <c r="M1053" t="s">
        <v>32</v>
      </c>
      <c r="N1053" t="s">
        <v>33</v>
      </c>
      <c r="O1053" t="s">
        <v>28</v>
      </c>
      <c r="Q1053">
        <f t="shared" si="64"/>
        <v>0</v>
      </c>
      <c r="R1053" s="3">
        <f t="shared" si="65"/>
        <v>6</v>
      </c>
      <c r="S1053">
        <f t="shared" si="66"/>
        <v>1</v>
      </c>
      <c r="T1053">
        <f t="shared" si="67"/>
        <v>1</v>
      </c>
    </row>
    <row r="1054" spans="1:20" x14ac:dyDescent="0.25">
      <c r="A1054" t="s">
        <v>1120</v>
      </c>
      <c r="B1054">
        <v>1053</v>
      </c>
      <c r="C1054" t="s">
        <v>36</v>
      </c>
      <c r="D1054" t="s">
        <v>39</v>
      </c>
      <c r="E1054" t="s">
        <v>56</v>
      </c>
      <c r="F1054" s="2">
        <v>45843</v>
      </c>
      <c r="G1054" s="2">
        <v>45843</v>
      </c>
      <c r="H1054" t="s">
        <v>41</v>
      </c>
      <c r="I1054" t="s">
        <v>54</v>
      </c>
      <c r="J1054" s="2">
        <v>45846</v>
      </c>
      <c r="K1054" s="2">
        <v>45846</v>
      </c>
      <c r="L1054" t="s">
        <v>26</v>
      </c>
      <c r="M1054" t="s">
        <v>27</v>
      </c>
      <c r="O1054" t="s">
        <v>37</v>
      </c>
      <c r="Q1054">
        <f t="shared" si="64"/>
        <v>1</v>
      </c>
      <c r="R1054" s="3">
        <f t="shared" si="65"/>
        <v>3</v>
      </c>
      <c r="S1054">
        <f t="shared" si="66"/>
        <v>0</v>
      </c>
      <c r="T1054">
        <f t="shared" si="67"/>
        <v>0</v>
      </c>
    </row>
    <row r="1055" spans="1:20" x14ac:dyDescent="0.25">
      <c r="A1055" t="s">
        <v>1121</v>
      </c>
      <c r="B1055">
        <v>1054</v>
      </c>
      <c r="C1055" t="s">
        <v>21</v>
      </c>
      <c r="D1055" t="s">
        <v>22</v>
      </c>
      <c r="E1055" t="s">
        <v>53</v>
      </c>
      <c r="F1055" s="2">
        <v>46001</v>
      </c>
      <c r="G1055" s="2">
        <v>46002</v>
      </c>
      <c r="H1055" t="s">
        <v>61</v>
      </c>
      <c r="I1055" t="s">
        <v>54</v>
      </c>
      <c r="J1055" s="2">
        <v>46003</v>
      </c>
      <c r="K1055" s="2">
        <v>46003</v>
      </c>
      <c r="L1055" t="s">
        <v>26</v>
      </c>
      <c r="M1055" t="s">
        <v>57</v>
      </c>
      <c r="O1055" t="s">
        <v>69</v>
      </c>
      <c r="Q1055">
        <f t="shared" si="64"/>
        <v>1</v>
      </c>
      <c r="R1055" s="3">
        <f t="shared" si="65"/>
        <v>2</v>
      </c>
      <c r="S1055">
        <f t="shared" si="66"/>
        <v>0</v>
      </c>
      <c r="T1055">
        <f t="shared" si="67"/>
        <v>0</v>
      </c>
    </row>
    <row r="1056" spans="1:20" x14ac:dyDescent="0.25">
      <c r="A1056" t="s">
        <v>1122</v>
      </c>
      <c r="B1056">
        <v>1055</v>
      </c>
      <c r="C1056" t="s">
        <v>78</v>
      </c>
      <c r="D1056" t="s">
        <v>22</v>
      </c>
      <c r="E1056" t="s">
        <v>60</v>
      </c>
      <c r="F1056" s="2">
        <v>45795</v>
      </c>
      <c r="G1056" s="2">
        <v>45796</v>
      </c>
      <c r="H1056" t="s">
        <v>41</v>
      </c>
      <c r="I1056" t="s">
        <v>73</v>
      </c>
      <c r="J1056" s="2">
        <v>45800</v>
      </c>
      <c r="K1056" s="2">
        <v>45800</v>
      </c>
      <c r="L1056" t="s">
        <v>26</v>
      </c>
      <c r="M1056" t="s">
        <v>57</v>
      </c>
      <c r="O1056" t="s">
        <v>37</v>
      </c>
      <c r="Q1056">
        <f t="shared" si="64"/>
        <v>1</v>
      </c>
      <c r="R1056" s="3">
        <f t="shared" si="65"/>
        <v>5</v>
      </c>
      <c r="S1056">
        <f t="shared" si="66"/>
        <v>0</v>
      </c>
      <c r="T1056">
        <f t="shared" si="67"/>
        <v>0</v>
      </c>
    </row>
    <row r="1057" spans="1:20" x14ac:dyDescent="0.25">
      <c r="A1057" t="s">
        <v>1123</v>
      </c>
      <c r="B1057">
        <v>1056</v>
      </c>
      <c r="C1057" t="s">
        <v>36</v>
      </c>
      <c r="D1057" t="s">
        <v>22</v>
      </c>
      <c r="E1057" t="s">
        <v>23</v>
      </c>
      <c r="F1057" s="2">
        <v>45824</v>
      </c>
      <c r="G1057" s="2">
        <v>45824</v>
      </c>
      <c r="H1057" t="s">
        <v>24</v>
      </c>
      <c r="I1057" t="s">
        <v>54</v>
      </c>
      <c r="J1057" s="2">
        <v>45830</v>
      </c>
      <c r="K1057" s="2">
        <v>45830</v>
      </c>
      <c r="L1057" t="s">
        <v>26</v>
      </c>
      <c r="M1057" t="s">
        <v>57</v>
      </c>
      <c r="O1057" t="s">
        <v>34</v>
      </c>
      <c r="Q1057">
        <f t="shared" si="64"/>
        <v>1</v>
      </c>
      <c r="R1057" s="3">
        <f t="shared" si="65"/>
        <v>6</v>
      </c>
      <c r="S1057">
        <f t="shared" si="66"/>
        <v>0</v>
      </c>
      <c r="T1057">
        <f t="shared" si="67"/>
        <v>0</v>
      </c>
    </row>
    <row r="1058" spans="1:20" x14ac:dyDescent="0.25">
      <c r="A1058" t="s">
        <v>1124</v>
      </c>
      <c r="B1058">
        <v>1057</v>
      </c>
      <c r="C1058" t="s">
        <v>21</v>
      </c>
      <c r="D1058" t="s">
        <v>64</v>
      </c>
      <c r="E1058" t="s">
        <v>60</v>
      </c>
      <c r="F1058" s="2">
        <v>45882</v>
      </c>
      <c r="G1058" s="2">
        <v>45882</v>
      </c>
      <c r="H1058" t="s">
        <v>61</v>
      </c>
      <c r="I1058" t="s">
        <v>42</v>
      </c>
      <c r="J1058" s="2">
        <v>45886</v>
      </c>
      <c r="K1058" s="2">
        <v>45887</v>
      </c>
      <c r="L1058" t="s">
        <v>26</v>
      </c>
      <c r="M1058" t="s">
        <v>27</v>
      </c>
      <c r="O1058" t="s">
        <v>43</v>
      </c>
      <c r="P1058" t="s">
        <v>71</v>
      </c>
      <c r="Q1058">
        <f t="shared" si="64"/>
        <v>0</v>
      </c>
      <c r="R1058" s="3">
        <f t="shared" si="65"/>
        <v>4</v>
      </c>
      <c r="S1058">
        <f t="shared" si="66"/>
        <v>0</v>
      </c>
      <c r="T1058">
        <f t="shared" si="67"/>
        <v>0</v>
      </c>
    </row>
    <row r="1059" spans="1:20" x14ac:dyDescent="0.25">
      <c r="A1059" t="s">
        <v>1125</v>
      </c>
      <c r="B1059">
        <v>1058</v>
      </c>
      <c r="C1059" t="s">
        <v>78</v>
      </c>
      <c r="D1059" t="s">
        <v>64</v>
      </c>
      <c r="E1059" t="s">
        <v>60</v>
      </c>
      <c r="F1059" s="2">
        <v>45662</v>
      </c>
      <c r="G1059" s="2">
        <v>45662</v>
      </c>
      <c r="H1059" t="s">
        <v>45</v>
      </c>
      <c r="I1059" t="s">
        <v>73</v>
      </c>
      <c r="J1059" s="2">
        <v>45665</v>
      </c>
      <c r="K1059" s="2">
        <v>45665</v>
      </c>
      <c r="L1059" t="s">
        <v>26</v>
      </c>
      <c r="M1059" t="s">
        <v>57</v>
      </c>
      <c r="O1059" t="s">
        <v>69</v>
      </c>
      <c r="P1059" t="s">
        <v>71</v>
      </c>
      <c r="Q1059">
        <f t="shared" si="64"/>
        <v>1</v>
      </c>
      <c r="R1059" s="3">
        <f t="shared" si="65"/>
        <v>3</v>
      </c>
      <c r="S1059">
        <f t="shared" si="66"/>
        <v>0</v>
      </c>
      <c r="T1059">
        <f t="shared" si="67"/>
        <v>0</v>
      </c>
    </row>
    <row r="1060" spans="1:20" x14ac:dyDescent="0.25">
      <c r="A1060" t="s">
        <v>1126</v>
      </c>
      <c r="B1060">
        <v>1059</v>
      </c>
      <c r="C1060" t="s">
        <v>78</v>
      </c>
      <c r="D1060" t="s">
        <v>52</v>
      </c>
      <c r="E1060" t="s">
        <v>60</v>
      </c>
      <c r="F1060" s="2">
        <v>45665</v>
      </c>
      <c r="G1060" s="2">
        <v>45666</v>
      </c>
      <c r="H1060" t="s">
        <v>45</v>
      </c>
      <c r="I1060" t="s">
        <v>62</v>
      </c>
      <c r="J1060" s="2">
        <v>45668</v>
      </c>
      <c r="K1060" s="2">
        <v>45669</v>
      </c>
      <c r="L1060" t="s">
        <v>26</v>
      </c>
      <c r="M1060" t="s">
        <v>57</v>
      </c>
      <c r="O1060" t="s">
        <v>37</v>
      </c>
      <c r="Q1060">
        <f t="shared" si="64"/>
        <v>0</v>
      </c>
      <c r="R1060" s="3">
        <f t="shared" si="65"/>
        <v>3</v>
      </c>
      <c r="S1060">
        <f t="shared" si="66"/>
        <v>0</v>
      </c>
      <c r="T1060">
        <f t="shared" si="67"/>
        <v>0</v>
      </c>
    </row>
    <row r="1061" spans="1:20" x14ac:dyDescent="0.25">
      <c r="A1061" t="s">
        <v>1127</v>
      </c>
      <c r="B1061">
        <v>1060</v>
      </c>
      <c r="C1061" t="s">
        <v>36</v>
      </c>
      <c r="D1061" t="s">
        <v>64</v>
      </c>
      <c r="E1061" t="s">
        <v>60</v>
      </c>
      <c r="F1061" s="2">
        <v>45902</v>
      </c>
      <c r="G1061" s="2">
        <v>45902</v>
      </c>
      <c r="H1061" t="s">
        <v>45</v>
      </c>
      <c r="I1061" t="s">
        <v>73</v>
      </c>
      <c r="J1061" s="2">
        <v>45905</v>
      </c>
      <c r="K1061" s="2">
        <v>45905</v>
      </c>
      <c r="L1061" t="s">
        <v>26</v>
      </c>
      <c r="M1061" t="s">
        <v>27</v>
      </c>
      <c r="O1061" t="s">
        <v>28</v>
      </c>
      <c r="Q1061">
        <f t="shared" si="64"/>
        <v>1</v>
      </c>
      <c r="R1061" s="3">
        <f t="shared" si="65"/>
        <v>3</v>
      </c>
      <c r="S1061">
        <f t="shared" si="66"/>
        <v>0</v>
      </c>
      <c r="T1061">
        <f t="shared" si="67"/>
        <v>0</v>
      </c>
    </row>
    <row r="1062" spans="1:20" x14ac:dyDescent="0.25">
      <c r="A1062" t="s">
        <v>1128</v>
      </c>
      <c r="B1062">
        <v>1061</v>
      </c>
      <c r="C1062" t="s">
        <v>78</v>
      </c>
      <c r="D1062" t="s">
        <v>52</v>
      </c>
      <c r="E1062" t="s">
        <v>40</v>
      </c>
      <c r="F1062" s="2">
        <v>45809</v>
      </c>
      <c r="G1062" s="2">
        <v>45809</v>
      </c>
      <c r="H1062" t="s">
        <v>24</v>
      </c>
      <c r="I1062" t="s">
        <v>25</v>
      </c>
      <c r="J1062" s="2">
        <v>45813</v>
      </c>
      <c r="K1062" s="2">
        <v>45813</v>
      </c>
      <c r="L1062" t="s">
        <v>26</v>
      </c>
      <c r="M1062" t="s">
        <v>57</v>
      </c>
      <c r="O1062" t="s">
        <v>28</v>
      </c>
      <c r="Q1062">
        <f t="shared" si="64"/>
        <v>1</v>
      </c>
      <c r="R1062" s="3">
        <f t="shared" si="65"/>
        <v>4</v>
      </c>
      <c r="S1062">
        <f t="shared" si="66"/>
        <v>0</v>
      </c>
      <c r="T1062">
        <f t="shared" si="67"/>
        <v>0</v>
      </c>
    </row>
    <row r="1063" spans="1:20" x14ac:dyDescent="0.25">
      <c r="A1063" t="s">
        <v>1129</v>
      </c>
      <c r="B1063">
        <v>1062</v>
      </c>
      <c r="C1063" t="s">
        <v>36</v>
      </c>
      <c r="D1063" t="s">
        <v>30</v>
      </c>
      <c r="E1063" t="s">
        <v>53</v>
      </c>
      <c r="F1063" s="2">
        <v>45695</v>
      </c>
      <c r="G1063" s="2">
        <v>45695</v>
      </c>
      <c r="H1063" t="s">
        <v>41</v>
      </c>
      <c r="I1063" t="s">
        <v>42</v>
      </c>
      <c r="J1063" s="2">
        <v>45699</v>
      </c>
      <c r="K1063" s="2">
        <v>45699</v>
      </c>
      <c r="L1063" t="s">
        <v>46</v>
      </c>
      <c r="M1063" t="s">
        <v>27</v>
      </c>
      <c r="O1063" t="s">
        <v>34</v>
      </c>
      <c r="Q1063">
        <f t="shared" si="64"/>
        <v>1</v>
      </c>
      <c r="R1063" s="3">
        <f t="shared" si="65"/>
        <v>4</v>
      </c>
      <c r="S1063">
        <f t="shared" si="66"/>
        <v>0</v>
      </c>
      <c r="T1063">
        <f t="shared" si="67"/>
        <v>1</v>
      </c>
    </row>
    <row r="1064" spans="1:20" x14ac:dyDescent="0.25">
      <c r="A1064" t="s">
        <v>1130</v>
      </c>
      <c r="B1064">
        <v>1063</v>
      </c>
      <c r="C1064" t="s">
        <v>36</v>
      </c>
      <c r="D1064" t="s">
        <v>52</v>
      </c>
      <c r="E1064" t="s">
        <v>40</v>
      </c>
      <c r="F1064" s="2">
        <v>45782</v>
      </c>
      <c r="G1064" s="2">
        <v>45783</v>
      </c>
      <c r="H1064" t="s">
        <v>45</v>
      </c>
      <c r="I1064" t="s">
        <v>85</v>
      </c>
      <c r="J1064" s="2">
        <v>45787</v>
      </c>
      <c r="K1064" s="2">
        <v>45787</v>
      </c>
      <c r="L1064" t="s">
        <v>26</v>
      </c>
      <c r="M1064" t="s">
        <v>27</v>
      </c>
      <c r="O1064" t="s">
        <v>34</v>
      </c>
      <c r="Q1064">
        <f t="shared" si="64"/>
        <v>1</v>
      </c>
      <c r="R1064" s="3">
        <f t="shared" si="65"/>
        <v>5</v>
      </c>
      <c r="S1064">
        <f t="shared" si="66"/>
        <v>0</v>
      </c>
      <c r="T1064">
        <f t="shared" si="67"/>
        <v>0</v>
      </c>
    </row>
    <row r="1065" spans="1:20" x14ac:dyDescent="0.25">
      <c r="A1065" t="s">
        <v>1131</v>
      </c>
      <c r="B1065">
        <v>1064</v>
      </c>
      <c r="C1065" t="s">
        <v>36</v>
      </c>
      <c r="D1065" t="s">
        <v>22</v>
      </c>
      <c r="E1065" t="s">
        <v>60</v>
      </c>
      <c r="F1065" s="2">
        <v>45937</v>
      </c>
      <c r="G1065" s="2">
        <v>45938</v>
      </c>
      <c r="H1065" t="s">
        <v>41</v>
      </c>
      <c r="I1065" t="s">
        <v>83</v>
      </c>
      <c r="J1065" s="2">
        <v>45942</v>
      </c>
      <c r="K1065" s="2">
        <v>45942</v>
      </c>
      <c r="L1065" t="s">
        <v>26</v>
      </c>
      <c r="M1065" t="s">
        <v>27</v>
      </c>
      <c r="O1065" t="s">
        <v>37</v>
      </c>
      <c r="Q1065">
        <f t="shared" si="64"/>
        <v>1</v>
      </c>
      <c r="R1065" s="3">
        <f t="shared" si="65"/>
        <v>5</v>
      </c>
      <c r="S1065">
        <f t="shared" si="66"/>
        <v>0</v>
      </c>
      <c r="T1065">
        <f t="shared" si="67"/>
        <v>0</v>
      </c>
    </row>
    <row r="1066" spans="1:20" x14ac:dyDescent="0.25">
      <c r="A1066" t="s">
        <v>1132</v>
      </c>
      <c r="B1066">
        <v>1065</v>
      </c>
      <c r="C1066" t="s">
        <v>59</v>
      </c>
      <c r="D1066" t="s">
        <v>22</v>
      </c>
      <c r="E1066" t="s">
        <v>23</v>
      </c>
      <c r="F1066" s="2">
        <v>45941</v>
      </c>
      <c r="G1066" s="2">
        <v>45942</v>
      </c>
      <c r="H1066" t="s">
        <v>24</v>
      </c>
      <c r="I1066" t="s">
        <v>62</v>
      </c>
      <c r="J1066" s="2">
        <v>45947</v>
      </c>
      <c r="K1066" s="2">
        <v>45947</v>
      </c>
      <c r="L1066" t="s">
        <v>26</v>
      </c>
      <c r="M1066" t="s">
        <v>57</v>
      </c>
      <c r="O1066" t="s">
        <v>37</v>
      </c>
      <c r="Q1066">
        <f t="shared" si="64"/>
        <v>1</v>
      </c>
      <c r="R1066" s="3">
        <f t="shared" si="65"/>
        <v>6</v>
      </c>
      <c r="S1066">
        <f t="shared" si="66"/>
        <v>0</v>
      </c>
      <c r="T1066">
        <f t="shared" si="67"/>
        <v>0</v>
      </c>
    </row>
    <row r="1067" spans="1:20" x14ac:dyDescent="0.25">
      <c r="A1067" t="s">
        <v>1133</v>
      </c>
      <c r="B1067">
        <v>1066</v>
      </c>
      <c r="C1067" t="s">
        <v>21</v>
      </c>
      <c r="D1067" t="s">
        <v>39</v>
      </c>
      <c r="E1067" t="s">
        <v>23</v>
      </c>
      <c r="F1067" s="2">
        <v>45852</v>
      </c>
      <c r="G1067" s="2">
        <v>45854</v>
      </c>
      <c r="H1067" t="s">
        <v>41</v>
      </c>
      <c r="I1067" t="s">
        <v>73</v>
      </c>
      <c r="J1067" s="2">
        <v>45857</v>
      </c>
      <c r="K1067" s="2">
        <v>45857</v>
      </c>
      <c r="L1067" t="s">
        <v>26</v>
      </c>
      <c r="M1067" t="s">
        <v>57</v>
      </c>
      <c r="O1067" t="s">
        <v>37</v>
      </c>
      <c r="Q1067">
        <f t="shared" si="64"/>
        <v>1</v>
      </c>
      <c r="R1067" s="3">
        <f t="shared" si="65"/>
        <v>5</v>
      </c>
      <c r="S1067">
        <f t="shared" si="66"/>
        <v>0</v>
      </c>
      <c r="T1067">
        <f t="shared" si="67"/>
        <v>0</v>
      </c>
    </row>
    <row r="1068" spans="1:20" x14ac:dyDescent="0.25">
      <c r="A1068" t="s">
        <v>1134</v>
      </c>
      <c r="B1068">
        <v>1067</v>
      </c>
      <c r="C1068" t="s">
        <v>59</v>
      </c>
      <c r="D1068" t="s">
        <v>52</v>
      </c>
      <c r="E1068" t="s">
        <v>60</v>
      </c>
      <c r="F1068" s="2">
        <v>45764</v>
      </c>
      <c r="G1068" s="2">
        <v>45764</v>
      </c>
      <c r="H1068" t="s">
        <v>41</v>
      </c>
      <c r="I1068" t="s">
        <v>25</v>
      </c>
      <c r="J1068" s="2">
        <v>45766</v>
      </c>
      <c r="K1068" s="2">
        <v>45766</v>
      </c>
      <c r="L1068" t="s">
        <v>26</v>
      </c>
      <c r="M1068" t="s">
        <v>57</v>
      </c>
      <c r="O1068" t="s">
        <v>81</v>
      </c>
      <c r="Q1068">
        <f t="shared" si="64"/>
        <v>1</v>
      </c>
      <c r="R1068" s="3">
        <f t="shared" si="65"/>
        <v>2</v>
      </c>
      <c r="S1068">
        <f t="shared" si="66"/>
        <v>0</v>
      </c>
      <c r="T1068">
        <f t="shared" si="67"/>
        <v>0</v>
      </c>
    </row>
    <row r="1069" spans="1:20" x14ac:dyDescent="0.25">
      <c r="A1069" t="s">
        <v>1135</v>
      </c>
      <c r="B1069">
        <v>1068</v>
      </c>
      <c r="C1069" t="s">
        <v>78</v>
      </c>
      <c r="D1069" t="s">
        <v>30</v>
      </c>
      <c r="E1069" t="s">
        <v>60</v>
      </c>
      <c r="F1069" s="2">
        <v>45986</v>
      </c>
      <c r="G1069" s="2">
        <v>45988</v>
      </c>
      <c r="H1069" t="s">
        <v>24</v>
      </c>
      <c r="I1069" t="s">
        <v>54</v>
      </c>
      <c r="J1069" s="2">
        <v>45994</v>
      </c>
      <c r="K1069" s="2">
        <v>45994</v>
      </c>
      <c r="L1069" t="s">
        <v>26</v>
      </c>
      <c r="M1069" t="s">
        <v>57</v>
      </c>
      <c r="O1069" t="s">
        <v>81</v>
      </c>
      <c r="Q1069">
        <f t="shared" si="64"/>
        <v>1</v>
      </c>
      <c r="R1069" s="3">
        <f t="shared" si="65"/>
        <v>8</v>
      </c>
      <c r="S1069">
        <f t="shared" si="66"/>
        <v>0</v>
      </c>
      <c r="T1069">
        <f t="shared" si="67"/>
        <v>0</v>
      </c>
    </row>
    <row r="1070" spans="1:20" x14ac:dyDescent="0.25">
      <c r="A1070" t="s">
        <v>1136</v>
      </c>
      <c r="B1070">
        <v>1069</v>
      </c>
      <c r="C1070" t="s">
        <v>78</v>
      </c>
      <c r="D1070" t="s">
        <v>64</v>
      </c>
      <c r="E1070" t="s">
        <v>60</v>
      </c>
      <c r="F1070" s="2">
        <v>45767</v>
      </c>
      <c r="G1070" s="2">
        <v>45769</v>
      </c>
      <c r="H1070" t="s">
        <v>31</v>
      </c>
      <c r="I1070" t="s">
        <v>62</v>
      </c>
      <c r="J1070" s="2">
        <v>45770</v>
      </c>
      <c r="K1070" s="2">
        <v>45771</v>
      </c>
      <c r="L1070" t="s">
        <v>26</v>
      </c>
      <c r="M1070" t="s">
        <v>57</v>
      </c>
      <c r="O1070" t="s">
        <v>43</v>
      </c>
      <c r="Q1070">
        <f t="shared" si="64"/>
        <v>0</v>
      </c>
      <c r="R1070" s="3">
        <f t="shared" si="65"/>
        <v>3</v>
      </c>
      <c r="S1070">
        <f t="shared" si="66"/>
        <v>0</v>
      </c>
      <c r="T1070">
        <f t="shared" si="67"/>
        <v>0</v>
      </c>
    </row>
    <row r="1071" spans="1:20" x14ac:dyDescent="0.25">
      <c r="A1071" t="s">
        <v>1137</v>
      </c>
      <c r="B1071">
        <v>1070</v>
      </c>
      <c r="C1071" t="s">
        <v>59</v>
      </c>
      <c r="D1071" t="s">
        <v>64</v>
      </c>
      <c r="E1071" t="s">
        <v>56</v>
      </c>
      <c r="F1071" s="2">
        <v>45946</v>
      </c>
      <c r="G1071" s="2">
        <v>45947</v>
      </c>
      <c r="H1071" t="s">
        <v>41</v>
      </c>
      <c r="I1071" t="s">
        <v>54</v>
      </c>
      <c r="J1071" s="2">
        <v>45950</v>
      </c>
      <c r="K1071" s="2">
        <v>45950</v>
      </c>
      <c r="L1071" t="s">
        <v>46</v>
      </c>
      <c r="M1071" t="s">
        <v>27</v>
      </c>
      <c r="O1071" t="s">
        <v>69</v>
      </c>
      <c r="P1071" t="s">
        <v>76</v>
      </c>
      <c r="Q1071">
        <f t="shared" si="64"/>
        <v>1</v>
      </c>
      <c r="R1071" s="3">
        <f t="shared" si="65"/>
        <v>4</v>
      </c>
      <c r="S1071">
        <f t="shared" si="66"/>
        <v>0</v>
      </c>
      <c r="T1071">
        <f t="shared" si="67"/>
        <v>1</v>
      </c>
    </row>
    <row r="1072" spans="1:20" x14ac:dyDescent="0.25">
      <c r="A1072" t="s">
        <v>1138</v>
      </c>
      <c r="B1072">
        <v>1071</v>
      </c>
      <c r="C1072" t="s">
        <v>36</v>
      </c>
      <c r="D1072" t="s">
        <v>52</v>
      </c>
      <c r="E1072" t="s">
        <v>60</v>
      </c>
      <c r="F1072" s="2">
        <v>45719</v>
      </c>
      <c r="G1072" s="2">
        <v>45720</v>
      </c>
      <c r="H1072" t="s">
        <v>61</v>
      </c>
      <c r="I1072" t="s">
        <v>83</v>
      </c>
      <c r="J1072" s="2">
        <v>45723</v>
      </c>
      <c r="K1072" s="2">
        <v>45723</v>
      </c>
      <c r="L1072" t="s">
        <v>26</v>
      </c>
      <c r="M1072" t="s">
        <v>27</v>
      </c>
      <c r="O1072" t="s">
        <v>37</v>
      </c>
      <c r="Q1072">
        <f t="shared" si="64"/>
        <v>1</v>
      </c>
      <c r="R1072" s="3">
        <f t="shared" si="65"/>
        <v>4</v>
      </c>
      <c r="S1072">
        <f t="shared" si="66"/>
        <v>0</v>
      </c>
      <c r="T1072">
        <f t="shared" si="67"/>
        <v>0</v>
      </c>
    </row>
    <row r="1073" spans="1:20" x14ac:dyDescent="0.25">
      <c r="A1073" t="s">
        <v>1139</v>
      </c>
      <c r="B1073">
        <v>1072</v>
      </c>
      <c r="C1073" t="s">
        <v>59</v>
      </c>
      <c r="D1073" t="s">
        <v>30</v>
      </c>
      <c r="E1073" t="s">
        <v>56</v>
      </c>
      <c r="F1073" s="2">
        <v>46003</v>
      </c>
      <c r="G1073" s="2">
        <v>46005</v>
      </c>
      <c r="H1073" t="s">
        <v>61</v>
      </c>
      <c r="I1073" t="s">
        <v>25</v>
      </c>
      <c r="J1073" s="2">
        <v>46008</v>
      </c>
      <c r="K1073" s="2">
        <v>46008</v>
      </c>
      <c r="L1073" t="s">
        <v>26</v>
      </c>
      <c r="M1073" t="s">
        <v>57</v>
      </c>
      <c r="O1073" t="s">
        <v>81</v>
      </c>
      <c r="Q1073">
        <f t="shared" si="64"/>
        <v>1</v>
      </c>
      <c r="R1073" s="3">
        <f t="shared" si="65"/>
        <v>5</v>
      </c>
      <c r="S1073">
        <f t="shared" si="66"/>
        <v>0</v>
      </c>
      <c r="T1073">
        <f t="shared" si="67"/>
        <v>0</v>
      </c>
    </row>
    <row r="1074" spans="1:20" x14ac:dyDescent="0.25">
      <c r="A1074" t="s">
        <v>1140</v>
      </c>
      <c r="B1074">
        <v>1073</v>
      </c>
      <c r="C1074" t="s">
        <v>59</v>
      </c>
      <c r="D1074" t="s">
        <v>39</v>
      </c>
      <c r="E1074" t="s">
        <v>53</v>
      </c>
      <c r="F1074" s="2">
        <v>45963</v>
      </c>
      <c r="G1074" s="2">
        <v>45964</v>
      </c>
      <c r="H1074" t="s">
        <v>45</v>
      </c>
      <c r="I1074" t="s">
        <v>54</v>
      </c>
      <c r="J1074" s="2">
        <v>45966</v>
      </c>
      <c r="K1074" s="2">
        <v>45966</v>
      </c>
      <c r="L1074" t="s">
        <v>46</v>
      </c>
      <c r="M1074" t="s">
        <v>57</v>
      </c>
      <c r="O1074" t="s">
        <v>34</v>
      </c>
      <c r="Q1074">
        <f t="shared" si="64"/>
        <v>1</v>
      </c>
      <c r="R1074" s="3">
        <f t="shared" si="65"/>
        <v>3</v>
      </c>
      <c r="S1074">
        <f t="shared" si="66"/>
        <v>0</v>
      </c>
      <c r="T1074">
        <f t="shared" si="67"/>
        <v>1</v>
      </c>
    </row>
    <row r="1075" spans="1:20" x14ac:dyDescent="0.25">
      <c r="A1075" t="s">
        <v>1141</v>
      </c>
      <c r="B1075">
        <v>1074</v>
      </c>
      <c r="C1075" t="s">
        <v>78</v>
      </c>
      <c r="D1075" t="s">
        <v>39</v>
      </c>
      <c r="E1075" t="s">
        <v>40</v>
      </c>
      <c r="F1075" s="2">
        <v>45855</v>
      </c>
      <c r="G1075" s="2">
        <v>45856</v>
      </c>
      <c r="H1075" t="s">
        <v>41</v>
      </c>
      <c r="I1075" t="s">
        <v>54</v>
      </c>
      <c r="J1075" s="2">
        <v>45861</v>
      </c>
      <c r="K1075" s="2">
        <v>45861</v>
      </c>
      <c r="L1075" t="s">
        <v>26</v>
      </c>
      <c r="M1075" t="s">
        <v>27</v>
      </c>
      <c r="O1075" t="s">
        <v>34</v>
      </c>
      <c r="Q1075">
        <f t="shared" si="64"/>
        <v>1</v>
      </c>
      <c r="R1075" s="3">
        <f t="shared" si="65"/>
        <v>6</v>
      </c>
      <c r="S1075">
        <f t="shared" si="66"/>
        <v>0</v>
      </c>
      <c r="T1075">
        <f t="shared" si="67"/>
        <v>0</v>
      </c>
    </row>
    <row r="1076" spans="1:20" x14ac:dyDescent="0.25">
      <c r="A1076" t="s">
        <v>1142</v>
      </c>
      <c r="B1076">
        <v>1075</v>
      </c>
      <c r="C1076" t="s">
        <v>51</v>
      </c>
      <c r="D1076" t="s">
        <v>52</v>
      </c>
      <c r="E1076" t="s">
        <v>56</v>
      </c>
      <c r="F1076" s="2">
        <v>45848</v>
      </c>
      <c r="G1076" s="2">
        <v>45848</v>
      </c>
      <c r="H1076" t="s">
        <v>31</v>
      </c>
      <c r="I1076" t="s">
        <v>83</v>
      </c>
      <c r="J1076" s="2">
        <v>45850</v>
      </c>
      <c r="K1076" s="2">
        <v>45850</v>
      </c>
      <c r="L1076" t="s">
        <v>26</v>
      </c>
      <c r="M1076" t="s">
        <v>27</v>
      </c>
      <c r="O1076" t="s">
        <v>43</v>
      </c>
      <c r="P1076" t="s">
        <v>88</v>
      </c>
      <c r="Q1076">
        <f t="shared" si="64"/>
        <v>1</v>
      </c>
      <c r="R1076" s="3">
        <f t="shared" si="65"/>
        <v>2</v>
      </c>
      <c r="S1076">
        <f t="shared" si="66"/>
        <v>0</v>
      </c>
      <c r="T1076">
        <f t="shared" si="67"/>
        <v>0</v>
      </c>
    </row>
    <row r="1077" spans="1:20" x14ac:dyDescent="0.25">
      <c r="A1077" t="s">
        <v>1143</v>
      </c>
      <c r="B1077">
        <v>1076</v>
      </c>
      <c r="C1077" t="s">
        <v>36</v>
      </c>
      <c r="D1077" t="s">
        <v>52</v>
      </c>
      <c r="E1077" t="s">
        <v>60</v>
      </c>
      <c r="F1077" s="2">
        <v>45893</v>
      </c>
      <c r="G1077" s="2">
        <v>45893</v>
      </c>
      <c r="H1077" t="s">
        <v>24</v>
      </c>
      <c r="I1077" t="s">
        <v>54</v>
      </c>
      <c r="J1077" s="2">
        <v>45895</v>
      </c>
      <c r="K1077" s="2">
        <v>45895</v>
      </c>
      <c r="L1077" t="s">
        <v>46</v>
      </c>
      <c r="M1077" t="s">
        <v>27</v>
      </c>
      <c r="O1077" t="s">
        <v>28</v>
      </c>
      <c r="P1077" t="s">
        <v>71</v>
      </c>
      <c r="Q1077">
        <f t="shared" si="64"/>
        <v>1</v>
      </c>
      <c r="R1077" s="3">
        <f t="shared" si="65"/>
        <v>2</v>
      </c>
      <c r="S1077">
        <f t="shared" si="66"/>
        <v>0</v>
      </c>
      <c r="T1077">
        <f t="shared" si="67"/>
        <v>1</v>
      </c>
    </row>
    <row r="1078" spans="1:20" x14ac:dyDescent="0.25">
      <c r="A1078" t="s">
        <v>1144</v>
      </c>
      <c r="B1078">
        <v>1077</v>
      </c>
      <c r="C1078" t="s">
        <v>51</v>
      </c>
      <c r="D1078" t="s">
        <v>52</v>
      </c>
      <c r="E1078" t="s">
        <v>40</v>
      </c>
      <c r="F1078" s="2">
        <v>45902</v>
      </c>
      <c r="G1078" s="2">
        <v>45902</v>
      </c>
      <c r="H1078" t="s">
        <v>45</v>
      </c>
      <c r="I1078" t="s">
        <v>25</v>
      </c>
      <c r="J1078" s="2">
        <v>45907</v>
      </c>
      <c r="K1078" s="2">
        <v>45907</v>
      </c>
      <c r="L1078" t="s">
        <v>26</v>
      </c>
      <c r="M1078" t="s">
        <v>57</v>
      </c>
      <c r="O1078" t="s">
        <v>81</v>
      </c>
      <c r="Q1078">
        <f t="shared" si="64"/>
        <v>1</v>
      </c>
      <c r="R1078" s="3">
        <f t="shared" si="65"/>
        <v>5</v>
      </c>
      <c r="S1078">
        <f t="shared" si="66"/>
        <v>0</v>
      </c>
      <c r="T1078">
        <f t="shared" si="67"/>
        <v>0</v>
      </c>
    </row>
    <row r="1079" spans="1:20" x14ac:dyDescent="0.25">
      <c r="A1079" t="s">
        <v>1145</v>
      </c>
      <c r="B1079">
        <v>1078</v>
      </c>
      <c r="C1079" t="s">
        <v>59</v>
      </c>
      <c r="D1079" t="s">
        <v>39</v>
      </c>
      <c r="E1079" t="s">
        <v>53</v>
      </c>
      <c r="F1079" s="2">
        <v>45896</v>
      </c>
      <c r="G1079" s="2">
        <v>45896</v>
      </c>
      <c r="H1079" t="s">
        <v>24</v>
      </c>
      <c r="I1079" t="s">
        <v>25</v>
      </c>
      <c r="J1079" s="2">
        <v>45900</v>
      </c>
      <c r="K1079" s="2">
        <v>45900</v>
      </c>
      <c r="L1079" t="s">
        <v>26</v>
      </c>
      <c r="M1079" t="s">
        <v>57</v>
      </c>
      <c r="O1079" t="s">
        <v>81</v>
      </c>
      <c r="P1079" t="s">
        <v>93</v>
      </c>
      <c r="Q1079">
        <f t="shared" si="64"/>
        <v>1</v>
      </c>
      <c r="R1079" s="3">
        <f t="shared" si="65"/>
        <v>4</v>
      </c>
      <c r="S1079">
        <f t="shared" si="66"/>
        <v>0</v>
      </c>
      <c r="T1079">
        <f t="shared" si="67"/>
        <v>0</v>
      </c>
    </row>
    <row r="1080" spans="1:20" x14ac:dyDescent="0.25">
      <c r="A1080" t="s">
        <v>1146</v>
      </c>
      <c r="B1080">
        <v>1079</v>
      </c>
      <c r="C1080" t="s">
        <v>59</v>
      </c>
      <c r="D1080" t="s">
        <v>39</v>
      </c>
      <c r="E1080" t="s">
        <v>56</v>
      </c>
      <c r="F1080" s="2">
        <v>45933</v>
      </c>
      <c r="G1080" s="2">
        <v>45934</v>
      </c>
      <c r="H1080" t="s">
        <v>41</v>
      </c>
      <c r="I1080" t="s">
        <v>73</v>
      </c>
      <c r="J1080" s="2">
        <v>45939</v>
      </c>
      <c r="K1080" s="2">
        <v>45939</v>
      </c>
      <c r="L1080" t="s">
        <v>26</v>
      </c>
      <c r="M1080" t="s">
        <v>57</v>
      </c>
      <c r="O1080" t="s">
        <v>43</v>
      </c>
      <c r="Q1080">
        <f t="shared" si="64"/>
        <v>1</v>
      </c>
      <c r="R1080" s="3">
        <f t="shared" si="65"/>
        <v>6</v>
      </c>
      <c r="S1080">
        <f t="shared" si="66"/>
        <v>0</v>
      </c>
      <c r="T1080">
        <f t="shared" si="67"/>
        <v>0</v>
      </c>
    </row>
    <row r="1081" spans="1:20" x14ac:dyDescent="0.25">
      <c r="A1081" t="s">
        <v>1147</v>
      </c>
      <c r="B1081">
        <v>1080</v>
      </c>
      <c r="C1081" t="s">
        <v>59</v>
      </c>
      <c r="D1081" t="s">
        <v>30</v>
      </c>
      <c r="E1081" t="s">
        <v>53</v>
      </c>
      <c r="F1081" s="2">
        <v>45712</v>
      </c>
      <c r="G1081" s="2">
        <v>45714</v>
      </c>
      <c r="H1081" t="s">
        <v>24</v>
      </c>
      <c r="I1081" t="s">
        <v>54</v>
      </c>
      <c r="J1081" s="2">
        <v>45718</v>
      </c>
      <c r="K1081" s="2">
        <v>45718</v>
      </c>
      <c r="L1081" t="s">
        <v>26</v>
      </c>
      <c r="M1081" t="s">
        <v>27</v>
      </c>
      <c r="O1081" t="s">
        <v>69</v>
      </c>
      <c r="Q1081">
        <f t="shared" si="64"/>
        <v>1</v>
      </c>
      <c r="R1081" s="3">
        <f t="shared" si="65"/>
        <v>6</v>
      </c>
      <c r="S1081">
        <f t="shared" si="66"/>
        <v>0</v>
      </c>
      <c r="T1081">
        <f t="shared" si="67"/>
        <v>0</v>
      </c>
    </row>
    <row r="1082" spans="1:20" x14ac:dyDescent="0.25">
      <c r="A1082" t="s">
        <v>1148</v>
      </c>
      <c r="B1082">
        <v>1081</v>
      </c>
      <c r="C1082" t="s">
        <v>59</v>
      </c>
      <c r="D1082" t="s">
        <v>64</v>
      </c>
      <c r="E1082" t="s">
        <v>53</v>
      </c>
      <c r="F1082" s="2">
        <v>45834</v>
      </c>
      <c r="G1082" s="2">
        <v>45835</v>
      </c>
      <c r="H1082" t="s">
        <v>31</v>
      </c>
      <c r="I1082" t="s">
        <v>83</v>
      </c>
      <c r="J1082" s="2">
        <v>45838</v>
      </c>
      <c r="K1082" s="2">
        <v>45838</v>
      </c>
      <c r="L1082" t="s">
        <v>26</v>
      </c>
      <c r="M1082" t="s">
        <v>27</v>
      </c>
      <c r="O1082" t="s">
        <v>37</v>
      </c>
      <c r="P1082" t="s">
        <v>93</v>
      </c>
      <c r="Q1082">
        <f t="shared" si="64"/>
        <v>1</v>
      </c>
      <c r="R1082" s="3">
        <f t="shared" si="65"/>
        <v>4</v>
      </c>
      <c r="S1082">
        <f t="shared" si="66"/>
        <v>0</v>
      </c>
      <c r="T1082">
        <f t="shared" si="67"/>
        <v>0</v>
      </c>
    </row>
    <row r="1083" spans="1:20" x14ac:dyDescent="0.25">
      <c r="A1083" t="s">
        <v>1149</v>
      </c>
      <c r="B1083">
        <v>1082</v>
      </c>
      <c r="C1083" t="s">
        <v>51</v>
      </c>
      <c r="D1083" t="s">
        <v>39</v>
      </c>
      <c r="E1083" t="s">
        <v>23</v>
      </c>
      <c r="F1083" s="2">
        <v>45955</v>
      </c>
      <c r="G1083" s="2">
        <v>45956</v>
      </c>
      <c r="H1083" t="s">
        <v>61</v>
      </c>
      <c r="I1083" t="s">
        <v>25</v>
      </c>
      <c r="J1083" s="2">
        <v>45959</v>
      </c>
      <c r="K1083" s="2">
        <v>45959</v>
      </c>
      <c r="L1083" t="s">
        <v>46</v>
      </c>
      <c r="M1083" t="s">
        <v>27</v>
      </c>
      <c r="O1083" t="s">
        <v>69</v>
      </c>
      <c r="Q1083">
        <f t="shared" si="64"/>
        <v>1</v>
      </c>
      <c r="R1083" s="3">
        <f t="shared" si="65"/>
        <v>4</v>
      </c>
      <c r="S1083">
        <f t="shared" si="66"/>
        <v>0</v>
      </c>
      <c r="T1083">
        <f t="shared" si="67"/>
        <v>1</v>
      </c>
    </row>
    <row r="1084" spans="1:20" x14ac:dyDescent="0.25">
      <c r="A1084" t="s">
        <v>1150</v>
      </c>
      <c r="B1084">
        <v>1083</v>
      </c>
      <c r="C1084" t="s">
        <v>36</v>
      </c>
      <c r="D1084" t="s">
        <v>52</v>
      </c>
      <c r="E1084" t="s">
        <v>56</v>
      </c>
      <c r="F1084" s="2">
        <v>45863</v>
      </c>
      <c r="G1084" s="2">
        <v>45864</v>
      </c>
      <c r="H1084" t="s">
        <v>45</v>
      </c>
      <c r="I1084" t="s">
        <v>54</v>
      </c>
      <c r="J1084" s="2">
        <v>45868</v>
      </c>
      <c r="K1084" s="2">
        <v>45868</v>
      </c>
      <c r="L1084" t="s">
        <v>26</v>
      </c>
      <c r="M1084" t="s">
        <v>27</v>
      </c>
      <c r="O1084" t="s">
        <v>69</v>
      </c>
      <c r="P1084" t="s">
        <v>93</v>
      </c>
      <c r="Q1084">
        <f t="shared" si="64"/>
        <v>1</v>
      </c>
      <c r="R1084" s="3">
        <f t="shared" si="65"/>
        <v>5</v>
      </c>
      <c r="S1084">
        <f t="shared" si="66"/>
        <v>0</v>
      </c>
      <c r="T1084">
        <f t="shared" si="67"/>
        <v>0</v>
      </c>
    </row>
    <row r="1085" spans="1:20" x14ac:dyDescent="0.25">
      <c r="A1085" t="s">
        <v>1151</v>
      </c>
      <c r="B1085">
        <v>1084</v>
      </c>
      <c r="C1085" t="s">
        <v>21</v>
      </c>
      <c r="D1085" t="s">
        <v>39</v>
      </c>
      <c r="E1085" t="s">
        <v>40</v>
      </c>
      <c r="F1085" s="2">
        <v>46006</v>
      </c>
      <c r="G1085" s="2">
        <v>46008</v>
      </c>
      <c r="H1085" t="s">
        <v>24</v>
      </c>
      <c r="I1085" t="s">
        <v>83</v>
      </c>
      <c r="J1085" s="2">
        <v>46012</v>
      </c>
      <c r="K1085" s="2">
        <v>46012</v>
      </c>
      <c r="L1085" t="s">
        <v>26</v>
      </c>
      <c r="M1085" t="s">
        <v>57</v>
      </c>
      <c r="O1085" t="s">
        <v>81</v>
      </c>
      <c r="Q1085">
        <f t="shared" si="64"/>
        <v>1</v>
      </c>
      <c r="R1085" s="3">
        <f t="shared" si="65"/>
        <v>6</v>
      </c>
      <c r="S1085">
        <f t="shared" si="66"/>
        <v>0</v>
      </c>
      <c r="T1085">
        <f t="shared" si="67"/>
        <v>0</v>
      </c>
    </row>
    <row r="1086" spans="1:20" x14ac:dyDescent="0.25">
      <c r="A1086" t="s">
        <v>1152</v>
      </c>
      <c r="B1086">
        <v>1085</v>
      </c>
      <c r="C1086" t="s">
        <v>59</v>
      </c>
      <c r="D1086" t="s">
        <v>64</v>
      </c>
      <c r="E1086" t="s">
        <v>23</v>
      </c>
      <c r="F1086" s="2">
        <v>45895</v>
      </c>
      <c r="G1086" s="2">
        <v>45895</v>
      </c>
      <c r="H1086" t="s">
        <v>61</v>
      </c>
      <c r="I1086" t="s">
        <v>85</v>
      </c>
      <c r="J1086" s="2">
        <v>45901</v>
      </c>
      <c r="K1086" s="2">
        <v>45901</v>
      </c>
      <c r="L1086" t="s">
        <v>26</v>
      </c>
      <c r="M1086" t="s">
        <v>57</v>
      </c>
      <c r="O1086" t="s">
        <v>69</v>
      </c>
      <c r="Q1086">
        <f t="shared" si="64"/>
        <v>1</v>
      </c>
      <c r="R1086" s="3">
        <f t="shared" si="65"/>
        <v>6</v>
      </c>
      <c r="S1086">
        <f t="shared" si="66"/>
        <v>0</v>
      </c>
      <c r="T1086">
        <f t="shared" si="67"/>
        <v>0</v>
      </c>
    </row>
    <row r="1087" spans="1:20" x14ac:dyDescent="0.25">
      <c r="A1087" t="s">
        <v>1153</v>
      </c>
      <c r="B1087">
        <v>1086</v>
      </c>
      <c r="C1087" t="s">
        <v>51</v>
      </c>
      <c r="D1087" t="s">
        <v>22</v>
      </c>
      <c r="E1087" t="s">
        <v>23</v>
      </c>
      <c r="F1087" s="2">
        <v>45799</v>
      </c>
      <c r="G1087" s="2">
        <v>45799</v>
      </c>
      <c r="H1087" t="s">
        <v>45</v>
      </c>
      <c r="I1087" t="s">
        <v>25</v>
      </c>
      <c r="J1087" s="2">
        <v>45803</v>
      </c>
      <c r="K1087" s="2">
        <v>45805</v>
      </c>
      <c r="L1087" t="s">
        <v>26</v>
      </c>
      <c r="M1087" t="s">
        <v>32</v>
      </c>
      <c r="N1087" t="s">
        <v>49</v>
      </c>
      <c r="O1087" t="s">
        <v>37</v>
      </c>
      <c r="Q1087">
        <f t="shared" si="64"/>
        <v>0</v>
      </c>
      <c r="R1087" s="3">
        <f t="shared" si="65"/>
        <v>4</v>
      </c>
      <c r="S1087">
        <f t="shared" si="66"/>
        <v>1</v>
      </c>
      <c r="T1087">
        <f t="shared" si="67"/>
        <v>0</v>
      </c>
    </row>
    <row r="1088" spans="1:20" x14ac:dyDescent="0.25">
      <c r="A1088" t="s">
        <v>1154</v>
      </c>
      <c r="B1088">
        <v>1087</v>
      </c>
      <c r="C1088" t="s">
        <v>36</v>
      </c>
      <c r="D1088" t="s">
        <v>22</v>
      </c>
      <c r="E1088" t="s">
        <v>23</v>
      </c>
      <c r="F1088" s="2">
        <v>46009</v>
      </c>
      <c r="G1088" s="2">
        <v>46010</v>
      </c>
      <c r="H1088" t="s">
        <v>45</v>
      </c>
      <c r="I1088" t="s">
        <v>85</v>
      </c>
      <c r="J1088" s="2">
        <v>46014</v>
      </c>
      <c r="K1088" s="2">
        <v>46014</v>
      </c>
      <c r="L1088" t="s">
        <v>46</v>
      </c>
      <c r="M1088" t="s">
        <v>57</v>
      </c>
      <c r="O1088" t="s">
        <v>81</v>
      </c>
      <c r="Q1088">
        <f t="shared" si="64"/>
        <v>1</v>
      </c>
      <c r="R1088" s="3">
        <f t="shared" si="65"/>
        <v>5</v>
      </c>
      <c r="S1088">
        <f t="shared" si="66"/>
        <v>0</v>
      </c>
      <c r="T1088">
        <f t="shared" si="67"/>
        <v>1</v>
      </c>
    </row>
    <row r="1089" spans="1:20" x14ac:dyDescent="0.25">
      <c r="A1089" t="s">
        <v>1155</v>
      </c>
      <c r="B1089">
        <v>1088</v>
      </c>
      <c r="C1089" t="s">
        <v>78</v>
      </c>
      <c r="D1089" t="s">
        <v>30</v>
      </c>
      <c r="E1089" t="s">
        <v>56</v>
      </c>
      <c r="F1089" s="2">
        <v>45825</v>
      </c>
      <c r="G1089" s="2">
        <v>45826</v>
      </c>
      <c r="H1089" t="s">
        <v>31</v>
      </c>
      <c r="I1089" t="s">
        <v>85</v>
      </c>
      <c r="J1089" s="2">
        <v>45830</v>
      </c>
      <c r="K1089" s="2">
        <v>45830</v>
      </c>
      <c r="L1089" t="s">
        <v>46</v>
      </c>
      <c r="M1089" t="s">
        <v>57</v>
      </c>
      <c r="O1089" t="s">
        <v>34</v>
      </c>
      <c r="Q1089">
        <f t="shared" si="64"/>
        <v>1</v>
      </c>
      <c r="R1089" s="3">
        <f t="shared" si="65"/>
        <v>5</v>
      </c>
      <c r="S1089">
        <f t="shared" si="66"/>
        <v>0</v>
      </c>
      <c r="T1089">
        <f t="shared" si="67"/>
        <v>1</v>
      </c>
    </row>
    <row r="1090" spans="1:20" x14ac:dyDescent="0.25">
      <c r="A1090" t="s">
        <v>1156</v>
      </c>
      <c r="B1090">
        <v>1089</v>
      </c>
      <c r="C1090" t="s">
        <v>21</v>
      </c>
      <c r="D1090" t="s">
        <v>52</v>
      </c>
      <c r="E1090" t="s">
        <v>23</v>
      </c>
      <c r="F1090" s="2">
        <v>45876</v>
      </c>
      <c r="G1090" s="2">
        <v>45878</v>
      </c>
      <c r="H1090" t="s">
        <v>31</v>
      </c>
      <c r="I1090" t="s">
        <v>62</v>
      </c>
      <c r="J1090" s="2">
        <v>45884</v>
      </c>
      <c r="K1090" s="2">
        <v>45884</v>
      </c>
      <c r="L1090" t="s">
        <v>26</v>
      </c>
      <c r="M1090" t="s">
        <v>27</v>
      </c>
      <c r="O1090" t="s">
        <v>34</v>
      </c>
      <c r="Q1090">
        <f t="shared" si="64"/>
        <v>1</v>
      </c>
      <c r="R1090" s="3">
        <f t="shared" si="65"/>
        <v>8</v>
      </c>
      <c r="S1090">
        <f t="shared" si="66"/>
        <v>0</v>
      </c>
      <c r="T1090">
        <f t="shared" si="67"/>
        <v>0</v>
      </c>
    </row>
    <row r="1091" spans="1:20" x14ac:dyDescent="0.25">
      <c r="A1091" t="s">
        <v>1157</v>
      </c>
      <c r="B1091">
        <v>1090</v>
      </c>
      <c r="C1091" t="s">
        <v>51</v>
      </c>
      <c r="D1091" t="s">
        <v>64</v>
      </c>
      <c r="E1091" t="s">
        <v>60</v>
      </c>
      <c r="F1091" s="2">
        <v>45914</v>
      </c>
      <c r="G1091" s="2">
        <v>45916</v>
      </c>
      <c r="H1091" t="s">
        <v>24</v>
      </c>
      <c r="I1091" t="s">
        <v>25</v>
      </c>
      <c r="J1091" s="2">
        <v>45919</v>
      </c>
      <c r="K1091" s="2">
        <v>45919</v>
      </c>
      <c r="L1091" t="s">
        <v>26</v>
      </c>
      <c r="M1091" t="s">
        <v>27</v>
      </c>
      <c r="O1091" t="s">
        <v>43</v>
      </c>
      <c r="P1091" t="s">
        <v>71</v>
      </c>
      <c r="Q1091">
        <f t="shared" ref="Q1091:Q1154" si="68">IF(K1091&lt;=J1091,1,0)</f>
        <v>1</v>
      </c>
      <c r="R1091" s="3">
        <f t="shared" ref="R1091:R1154" si="69">(J1091-F1091)</f>
        <v>5</v>
      </c>
      <c r="S1091">
        <f t="shared" ref="S1091:S1154" si="70">IF(M1091="Delayed",1,0)</f>
        <v>0</v>
      </c>
      <c r="T1091">
        <f t="shared" ref="T1091:T1154" si="71">IF(L1091="n",1,0)</f>
        <v>0</v>
      </c>
    </row>
    <row r="1092" spans="1:20" x14ac:dyDescent="0.25">
      <c r="A1092" t="s">
        <v>1158</v>
      </c>
      <c r="B1092">
        <v>1091</v>
      </c>
      <c r="C1092" t="s">
        <v>51</v>
      </c>
      <c r="D1092" t="s">
        <v>22</v>
      </c>
      <c r="E1092" t="s">
        <v>56</v>
      </c>
      <c r="F1092" s="2">
        <v>45967</v>
      </c>
      <c r="G1092" s="2">
        <v>45968</v>
      </c>
      <c r="H1092" t="s">
        <v>24</v>
      </c>
      <c r="I1092" t="s">
        <v>83</v>
      </c>
      <c r="J1092" s="2">
        <v>45970</v>
      </c>
      <c r="K1092" s="2">
        <v>45970</v>
      </c>
      <c r="L1092" t="s">
        <v>26</v>
      </c>
      <c r="M1092" t="s">
        <v>57</v>
      </c>
      <c r="O1092" t="s">
        <v>81</v>
      </c>
      <c r="Q1092">
        <f t="shared" si="68"/>
        <v>1</v>
      </c>
      <c r="R1092" s="3">
        <f t="shared" si="69"/>
        <v>3</v>
      </c>
      <c r="S1092">
        <f t="shared" si="70"/>
        <v>0</v>
      </c>
      <c r="T1092">
        <f t="shared" si="71"/>
        <v>0</v>
      </c>
    </row>
    <row r="1093" spans="1:20" x14ac:dyDescent="0.25">
      <c r="A1093" t="s">
        <v>1159</v>
      </c>
      <c r="B1093">
        <v>1092</v>
      </c>
      <c r="C1093" t="s">
        <v>59</v>
      </c>
      <c r="D1093" t="s">
        <v>64</v>
      </c>
      <c r="E1093" t="s">
        <v>23</v>
      </c>
      <c r="F1093" s="2">
        <v>45758</v>
      </c>
      <c r="G1093" s="2">
        <v>45758</v>
      </c>
      <c r="H1093" t="s">
        <v>45</v>
      </c>
      <c r="I1093" t="s">
        <v>62</v>
      </c>
      <c r="J1093" s="2">
        <v>45760</v>
      </c>
      <c r="K1093" s="2">
        <v>45761</v>
      </c>
      <c r="L1093" t="s">
        <v>26</v>
      </c>
      <c r="M1093" t="s">
        <v>57</v>
      </c>
      <c r="O1093" t="s">
        <v>34</v>
      </c>
      <c r="Q1093">
        <f t="shared" si="68"/>
        <v>0</v>
      </c>
      <c r="R1093" s="3">
        <f t="shared" si="69"/>
        <v>2</v>
      </c>
      <c r="S1093">
        <f t="shared" si="70"/>
        <v>0</v>
      </c>
      <c r="T1093">
        <f t="shared" si="71"/>
        <v>0</v>
      </c>
    </row>
    <row r="1094" spans="1:20" x14ac:dyDescent="0.25">
      <c r="A1094" t="s">
        <v>1160</v>
      </c>
      <c r="B1094">
        <v>1093</v>
      </c>
      <c r="C1094" t="s">
        <v>59</v>
      </c>
      <c r="D1094" t="s">
        <v>52</v>
      </c>
      <c r="E1094" t="s">
        <v>53</v>
      </c>
      <c r="F1094" s="2">
        <v>45985</v>
      </c>
      <c r="G1094" s="2">
        <v>45986</v>
      </c>
      <c r="H1094" t="s">
        <v>41</v>
      </c>
      <c r="I1094" t="s">
        <v>83</v>
      </c>
      <c r="J1094" s="2">
        <v>45988</v>
      </c>
      <c r="K1094" s="2">
        <v>45988</v>
      </c>
      <c r="L1094" t="s">
        <v>46</v>
      </c>
      <c r="M1094" t="s">
        <v>27</v>
      </c>
      <c r="O1094" t="s">
        <v>81</v>
      </c>
      <c r="Q1094">
        <f t="shared" si="68"/>
        <v>1</v>
      </c>
      <c r="R1094" s="3">
        <f t="shared" si="69"/>
        <v>3</v>
      </c>
      <c r="S1094">
        <f t="shared" si="70"/>
        <v>0</v>
      </c>
      <c r="T1094">
        <f t="shared" si="71"/>
        <v>1</v>
      </c>
    </row>
    <row r="1095" spans="1:20" x14ac:dyDescent="0.25">
      <c r="A1095" t="s">
        <v>1161</v>
      </c>
      <c r="B1095">
        <v>1094</v>
      </c>
      <c r="C1095" t="s">
        <v>78</v>
      </c>
      <c r="D1095" t="s">
        <v>64</v>
      </c>
      <c r="E1095" t="s">
        <v>60</v>
      </c>
      <c r="F1095" s="2">
        <v>45884</v>
      </c>
      <c r="G1095" s="2">
        <v>45884</v>
      </c>
      <c r="H1095" t="s">
        <v>45</v>
      </c>
      <c r="I1095" t="s">
        <v>73</v>
      </c>
      <c r="J1095" s="2">
        <v>45889</v>
      </c>
      <c r="K1095" s="2">
        <v>45889</v>
      </c>
      <c r="L1095" t="s">
        <v>26</v>
      </c>
      <c r="M1095" t="s">
        <v>27</v>
      </c>
      <c r="O1095" t="s">
        <v>34</v>
      </c>
      <c r="Q1095">
        <f t="shared" si="68"/>
        <v>1</v>
      </c>
      <c r="R1095" s="3">
        <f t="shared" si="69"/>
        <v>5</v>
      </c>
      <c r="S1095">
        <f t="shared" si="70"/>
        <v>0</v>
      </c>
      <c r="T1095">
        <f t="shared" si="71"/>
        <v>0</v>
      </c>
    </row>
    <row r="1096" spans="1:20" x14ac:dyDescent="0.25">
      <c r="A1096" t="s">
        <v>1162</v>
      </c>
      <c r="B1096">
        <v>1095</v>
      </c>
      <c r="C1096" t="s">
        <v>36</v>
      </c>
      <c r="D1096" t="s">
        <v>52</v>
      </c>
      <c r="E1096" t="s">
        <v>60</v>
      </c>
      <c r="F1096" s="2">
        <v>45835</v>
      </c>
      <c r="G1096" s="2">
        <v>45835</v>
      </c>
      <c r="H1096" t="s">
        <v>45</v>
      </c>
      <c r="I1096" t="s">
        <v>25</v>
      </c>
      <c r="J1096" s="2">
        <v>45839</v>
      </c>
      <c r="K1096" s="2">
        <v>45839</v>
      </c>
      <c r="L1096" t="s">
        <v>26</v>
      </c>
      <c r="M1096" t="s">
        <v>27</v>
      </c>
      <c r="O1096" t="s">
        <v>34</v>
      </c>
      <c r="Q1096">
        <f t="shared" si="68"/>
        <v>1</v>
      </c>
      <c r="R1096" s="3">
        <f t="shared" si="69"/>
        <v>4</v>
      </c>
      <c r="S1096">
        <f t="shared" si="70"/>
        <v>0</v>
      </c>
      <c r="T1096">
        <f t="shared" si="71"/>
        <v>0</v>
      </c>
    </row>
    <row r="1097" spans="1:20" x14ac:dyDescent="0.25">
      <c r="A1097" t="s">
        <v>1163</v>
      </c>
      <c r="B1097">
        <v>1096</v>
      </c>
      <c r="C1097" t="s">
        <v>21</v>
      </c>
      <c r="D1097" t="s">
        <v>64</v>
      </c>
      <c r="E1097" t="s">
        <v>56</v>
      </c>
      <c r="F1097" s="2">
        <v>45779</v>
      </c>
      <c r="G1097" s="2">
        <v>45781</v>
      </c>
      <c r="H1097" t="s">
        <v>31</v>
      </c>
      <c r="I1097" t="s">
        <v>85</v>
      </c>
      <c r="J1097" s="2">
        <v>45783</v>
      </c>
      <c r="K1097" s="2">
        <v>45784</v>
      </c>
      <c r="L1097" t="s">
        <v>26</v>
      </c>
      <c r="M1097" t="s">
        <v>27</v>
      </c>
      <c r="O1097" t="s">
        <v>81</v>
      </c>
      <c r="Q1097">
        <f t="shared" si="68"/>
        <v>0</v>
      </c>
      <c r="R1097" s="3">
        <f t="shared" si="69"/>
        <v>4</v>
      </c>
      <c r="S1097">
        <f t="shared" si="70"/>
        <v>0</v>
      </c>
      <c r="T1097">
        <f t="shared" si="71"/>
        <v>0</v>
      </c>
    </row>
    <row r="1098" spans="1:20" x14ac:dyDescent="0.25">
      <c r="A1098" t="s">
        <v>1164</v>
      </c>
      <c r="B1098">
        <v>1097</v>
      </c>
      <c r="C1098" t="s">
        <v>36</v>
      </c>
      <c r="D1098" t="s">
        <v>39</v>
      </c>
      <c r="E1098" t="s">
        <v>60</v>
      </c>
      <c r="F1098" s="2">
        <v>46004</v>
      </c>
      <c r="G1098" s="2">
        <v>46004</v>
      </c>
      <c r="H1098" t="s">
        <v>31</v>
      </c>
      <c r="I1098" t="s">
        <v>85</v>
      </c>
      <c r="J1098" s="2">
        <v>46007</v>
      </c>
      <c r="K1098" s="2">
        <v>46007</v>
      </c>
      <c r="L1098" t="s">
        <v>26</v>
      </c>
      <c r="M1098" t="s">
        <v>57</v>
      </c>
      <c r="O1098" t="s">
        <v>34</v>
      </c>
      <c r="P1098" t="s">
        <v>76</v>
      </c>
      <c r="Q1098">
        <f t="shared" si="68"/>
        <v>1</v>
      </c>
      <c r="R1098" s="3">
        <f t="shared" si="69"/>
        <v>3</v>
      </c>
      <c r="S1098">
        <f t="shared" si="70"/>
        <v>0</v>
      </c>
      <c r="T1098">
        <f t="shared" si="71"/>
        <v>0</v>
      </c>
    </row>
    <row r="1099" spans="1:20" x14ac:dyDescent="0.25">
      <c r="A1099" t="s">
        <v>1165</v>
      </c>
      <c r="B1099">
        <v>1098</v>
      </c>
      <c r="C1099" t="s">
        <v>21</v>
      </c>
      <c r="D1099" t="s">
        <v>22</v>
      </c>
      <c r="E1099" t="s">
        <v>53</v>
      </c>
      <c r="F1099" s="2">
        <v>46003</v>
      </c>
      <c r="G1099" s="2">
        <v>46005</v>
      </c>
      <c r="H1099" t="s">
        <v>45</v>
      </c>
      <c r="I1099" t="s">
        <v>42</v>
      </c>
      <c r="J1099" s="2">
        <v>46007</v>
      </c>
      <c r="K1099" s="2">
        <v>46007</v>
      </c>
      <c r="L1099" t="s">
        <v>26</v>
      </c>
      <c r="M1099" t="s">
        <v>27</v>
      </c>
      <c r="O1099" t="s">
        <v>43</v>
      </c>
      <c r="Q1099">
        <f t="shared" si="68"/>
        <v>1</v>
      </c>
      <c r="R1099" s="3">
        <f t="shared" si="69"/>
        <v>4</v>
      </c>
      <c r="S1099">
        <f t="shared" si="70"/>
        <v>0</v>
      </c>
      <c r="T1099">
        <f t="shared" si="71"/>
        <v>0</v>
      </c>
    </row>
    <row r="1100" spans="1:20" x14ac:dyDescent="0.25">
      <c r="A1100" t="s">
        <v>1166</v>
      </c>
      <c r="B1100">
        <v>1099</v>
      </c>
      <c r="C1100" t="s">
        <v>59</v>
      </c>
      <c r="D1100" t="s">
        <v>22</v>
      </c>
      <c r="E1100" t="s">
        <v>53</v>
      </c>
      <c r="F1100" s="2">
        <v>45881</v>
      </c>
      <c r="G1100" s="2">
        <v>45881</v>
      </c>
      <c r="H1100" t="s">
        <v>31</v>
      </c>
      <c r="I1100" t="s">
        <v>42</v>
      </c>
      <c r="J1100" s="2">
        <v>45887</v>
      </c>
      <c r="K1100" s="2">
        <v>45887</v>
      </c>
      <c r="L1100" t="s">
        <v>26</v>
      </c>
      <c r="M1100" t="s">
        <v>27</v>
      </c>
      <c r="O1100" t="s">
        <v>81</v>
      </c>
      <c r="Q1100">
        <f t="shared" si="68"/>
        <v>1</v>
      </c>
      <c r="R1100" s="3">
        <f t="shared" si="69"/>
        <v>6</v>
      </c>
      <c r="S1100">
        <f t="shared" si="70"/>
        <v>0</v>
      </c>
      <c r="T1100">
        <f t="shared" si="71"/>
        <v>0</v>
      </c>
    </row>
    <row r="1101" spans="1:20" x14ac:dyDescent="0.25">
      <c r="A1101" t="s">
        <v>1167</v>
      </c>
      <c r="B1101">
        <v>1100</v>
      </c>
      <c r="C1101" t="s">
        <v>51</v>
      </c>
      <c r="D1101" t="s">
        <v>39</v>
      </c>
      <c r="E1101" t="s">
        <v>40</v>
      </c>
      <c r="F1101" s="2">
        <v>45815</v>
      </c>
      <c r="G1101" s="2">
        <v>45815</v>
      </c>
      <c r="H1101" t="s">
        <v>31</v>
      </c>
      <c r="I1101" t="s">
        <v>83</v>
      </c>
      <c r="J1101" s="2">
        <v>45816</v>
      </c>
      <c r="K1101" s="2">
        <v>45816</v>
      </c>
      <c r="L1101" t="s">
        <v>26</v>
      </c>
      <c r="M1101" t="s">
        <v>27</v>
      </c>
      <c r="O1101" t="s">
        <v>69</v>
      </c>
      <c r="P1101" t="s">
        <v>88</v>
      </c>
      <c r="Q1101">
        <f t="shared" si="68"/>
        <v>1</v>
      </c>
      <c r="R1101" s="3">
        <f t="shared" si="69"/>
        <v>1</v>
      </c>
      <c r="S1101">
        <f t="shared" si="70"/>
        <v>0</v>
      </c>
      <c r="T1101">
        <f t="shared" si="71"/>
        <v>0</v>
      </c>
    </row>
    <row r="1102" spans="1:20" x14ac:dyDescent="0.25">
      <c r="A1102" t="s">
        <v>1168</v>
      </c>
      <c r="B1102">
        <v>1101</v>
      </c>
      <c r="C1102" t="s">
        <v>21</v>
      </c>
      <c r="D1102" t="s">
        <v>39</v>
      </c>
      <c r="E1102" t="s">
        <v>23</v>
      </c>
      <c r="F1102" s="2">
        <v>45999</v>
      </c>
      <c r="G1102" s="2">
        <v>46000</v>
      </c>
      <c r="H1102" t="s">
        <v>31</v>
      </c>
      <c r="I1102" t="s">
        <v>73</v>
      </c>
      <c r="J1102" s="2">
        <v>46003</v>
      </c>
      <c r="K1102" s="2">
        <v>46003</v>
      </c>
      <c r="L1102" t="s">
        <v>46</v>
      </c>
      <c r="M1102" t="s">
        <v>57</v>
      </c>
      <c r="O1102" t="s">
        <v>43</v>
      </c>
      <c r="Q1102">
        <f t="shared" si="68"/>
        <v>1</v>
      </c>
      <c r="R1102" s="3">
        <f t="shared" si="69"/>
        <v>4</v>
      </c>
      <c r="S1102">
        <f t="shared" si="70"/>
        <v>0</v>
      </c>
      <c r="T1102">
        <f t="shared" si="71"/>
        <v>1</v>
      </c>
    </row>
    <row r="1103" spans="1:20" x14ac:dyDescent="0.25">
      <c r="A1103" t="s">
        <v>1169</v>
      </c>
      <c r="B1103">
        <v>1102</v>
      </c>
      <c r="C1103" t="s">
        <v>78</v>
      </c>
      <c r="D1103" t="s">
        <v>39</v>
      </c>
      <c r="E1103" t="s">
        <v>23</v>
      </c>
      <c r="F1103" s="2">
        <v>45680</v>
      </c>
      <c r="G1103" s="2">
        <v>45682</v>
      </c>
      <c r="H1103" t="s">
        <v>45</v>
      </c>
      <c r="I1103" t="s">
        <v>83</v>
      </c>
      <c r="J1103" s="2">
        <v>45685</v>
      </c>
      <c r="K1103" s="2">
        <v>45685</v>
      </c>
      <c r="L1103" t="s">
        <v>26</v>
      </c>
      <c r="M1103" t="s">
        <v>57</v>
      </c>
      <c r="O1103" t="s">
        <v>28</v>
      </c>
      <c r="Q1103">
        <f t="shared" si="68"/>
        <v>1</v>
      </c>
      <c r="R1103" s="3">
        <f t="shared" si="69"/>
        <v>5</v>
      </c>
      <c r="S1103">
        <f t="shared" si="70"/>
        <v>0</v>
      </c>
      <c r="T1103">
        <f t="shared" si="71"/>
        <v>0</v>
      </c>
    </row>
    <row r="1104" spans="1:20" x14ac:dyDescent="0.25">
      <c r="A1104" t="s">
        <v>1170</v>
      </c>
      <c r="B1104">
        <v>1103</v>
      </c>
      <c r="C1104" t="s">
        <v>51</v>
      </c>
      <c r="D1104" t="s">
        <v>39</v>
      </c>
      <c r="E1104" t="s">
        <v>23</v>
      </c>
      <c r="F1104" s="2">
        <v>45661</v>
      </c>
      <c r="G1104" s="2">
        <v>45661</v>
      </c>
      <c r="H1104" t="s">
        <v>31</v>
      </c>
      <c r="I1104" t="s">
        <v>54</v>
      </c>
      <c r="J1104" s="2">
        <v>45663</v>
      </c>
      <c r="K1104" s="2">
        <v>45663</v>
      </c>
      <c r="L1104" t="s">
        <v>26</v>
      </c>
      <c r="M1104" t="s">
        <v>27</v>
      </c>
      <c r="O1104" t="s">
        <v>28</v>
      </c>
      <c r="P1104" t="s">
        <v>88</v>
      </c>
      <c r="Q1104">
        <f t="shared" si="68"/>
        <v>1</v>
      </c>
      <c r="R1104" s="3">
        <f t="shared" si="69"/>
        <v>2</v>
      </c>
      <c r="S1104">
        <f t="shared" si="70"/>
        <v>0</v>
      </c>
      <c r="T1104">
        <f t="shared" si="71"/>
        <v>0</v>
      </c>
    </row>
    <row r="1105" spans="1:20" x14ac:dyDescent="0.25">
      <c r="A1105" t="s">
        <v>1171</v>
      </c>
      <c r="B1105">
        <v>1104</v>
      </c>
      <c r="C1105" t="s">
        <v>21</v>
      </c>
      <c r="D1105" t="s">
        <v>52</v>
      </c>
      <c r="E1105" t="s">
        <v>60</v>
      </c>
      <c r="F1105" s="2">
        <v>45862</v>
      </c>
      <c r="G1105" s="2">
        <v>45862</v>
      </c>
      <c r="H1105" t="s">
        <v>24</v>
      </c>
      <c r="I1105" t="s">
        <v>83</v>
      </c>
      <c r="J1105" s="2">
        <v>45866</v>
      </c>
      <c r="K1105" s="2">
        <v>45866</v>
      </c>
      <c r="L1105" t="s">
        <v>46</v>
      </c>
      <c r="M1105" t="s">
        <v>57</v>
      </c>
      <c r="O1105" t="s">
        <v>81</v>
      </c>
      <c r="Q1105">
        <f t="shared" si="68"/>
        <v>1</v>
      </c>
      <c r="R1105" s="3">
        <f t="shared" si="69"/>
        <v>4</v>
      </c>
      <c r="S1105">
        <f t="shared" si="70"/>
        <v>0</v>
      </c>
      <c r="T1105">
        <f t="shared" si="71"/>
        <v>1</v>
      </c>
    </row>
    <row r="1106" spans="1:20" x14ac:dyDescent="0.25">
      <c r="A1106" t="s">
        <v>1172</v>
      </c>
      <c r="B1106">
        <v>1105</v>
      </c>
      <c r="C1106" t="s">
        <v>21</v>
      </c>
      <c r="D1106" t="s">
        <v>22</v>
      </c>
      <c r="E1106" t="s">
        <v>40</v>
      </c>
      <c r="F1106" s="2">
        <v>45894</v>
      </c>
      <c r="G1106" s="2">
        <v>45895</v>
      </c>
      <c r="H1106" t="s">
        <v>45</v>
      </c>
      <c r="I1106" t="s">
        <v>62</v>
      </c>
      <c r="J1106" s="2">
        <v>45898</v>
      </c>
      <c r="K1106" s="2">
        <v>45898</v>
      </c>
      <c r="L1106" t="s">
        <v>26</v>
      </c>
      <c r="M1106" t="s">
        <v>27</v>
      </c>
      <c r="O1106" t="s">
        <v>37</v>
      </c>
      <c r="Q1106">
        <f t="shared" si="68"/>
        <v>1</v>
      </c>
      <c r="R1106" s="3">
        <f t="shared" si="69"/>
        <v>4</v>
      </c>
      <c r="S1106">
        <f t="shared" si="70"/>
        <v>0</v>
      </c>
      <c r="T1106">
        <f t="shared" si="71"/>
        <v>0</v>
      </c>
    </row>
    <row r="1107" spans="1:20" x14ac:dyDescent="0.25">
      <c r="A1107" t="s">
        <v>1173</v>
      </c>
      <c r="B1107">
        <v>1106</v>
      </c>
      <c r="C1107" t="s">
        <v>51</v>
      </c>
      <c r="D1107" t="s">
        <v>22</v>
      </c>
      <c r="E1107" t="s">
        <v>53</v>
      </c>
      <c r="F1107" s="2">
        <v>45664</v>
      </c>
      <c r="G1107" s="2">
        <v>45666</v>
      </c>
      <c r="H1107" t="s">
        <v>45</v>
      </c>
      <c r="I1107" t="s">
        <v>85</v>
      </c>
      <c r="J1107" s="2">
        <v>45671</v>
      </c>
      <c r="K1107" s="2">
        <v>45671</v>
      </c>
      <c r="L1107" t="s">
        <v>26</v>
      </c>
      <c r="M1107" t="s">
        <v>27</v>
      </c>
      <c r="O1107" t="s">
        <v>69</v>
      </c>
      <c r="Q1107">
        <f t="shared" si="68"/>
        <v>1</v>
      </c>
      <c r="R1107" s="3">
        <f t="shared" si="69"/>
        <v>7</v>
      </c>
      <c r="S1107">
        <f t="shared" si="70"/>
        <v>0</v>
      </c>
      <c r="T1107">
        <f t="shared" si="71"/>
        <v>0</v>
      </c>
    </row>
    <row r="1108" spans="1:20" x14ac:dyDescent="0.25">
      <c r="A1108" t="s">
        <v>1174</v>
      </c>
      <c r="B1108">
        <v>1107</v>
      </c>
      <c r="C1108" t="s">
        <v>78</v>
      </c>
      <c r="D1108" t="s">
        <v>30</v>
      </c>
      <c r="E1108" t="s">
        <v>40</v>
      </c>
      <c r="F1108" s="2">
        <v>45731</v>
      </c>
      <c r="G1108" s="2">
        <v>45731</v>
      </c>
      <c r="H1108" t="s">
        <v>24</v>
      </c>
      <c r="I1108" t="s">
        <v>85</v>
      </c>
      <c r="J1108" s="2">
        <v>45733</v>
      </c>
      <c r="K1108" s="2">
        <v>45733</v>
      </c>
      <c r="L1108" t="s">
        <v>26</v>
      </c>
      <c r="M1108" t="s">
        <v>57</v>
      </c>
      <c r="O1108" t="s">
        <v>28</v>
      </c>
      <c r="Q1108">
        <f t="shared" si="68"/>
        <v>1</v>
      </c>
      <c r="R1108" s="3">
        <f t="shared" si="69"/>
        <v>2</v>
      </c>
      <c r="S1108">
        <f t="shared" si="70"/>
        <v>0</v>
      </c>
      <c r="T1108">
        <f t="shared" si="71"/>
        <v>0</v>
      </c>
    </row>
    <row r="1109" spans="1:20" x14ac:dyDescent="0.25">
      <c r="A1109" t="s">
        <v>1175</v>
      </c>
      <c r="B1109">
        <v>1108</v>
      </c>
      <c r="C1109" t="s">
        <v>59</v>
      </c>
      <c r="D1109" t="s">
        <v>52</v>
      </c>
      <c r="E1109" t="s">
        <v>60</v>
      </c>
      <c r="F1109" s="2">
        <v>45700</v>
      </c>
      <c r="G1109" s="2">
        <v>45702</v>
      </c>
      <c r="H1109" t="s">
        <v>45</v>
      </c>
      <c r="I1109" t="s">
        <v>54</v>
      </c>
      <c r="J1109" s="2">
        <v>45705</v>
      </c>
      <c r="K1109" s="2">
        <v>45705</v>
      </c>
      <c r="L1109" t="s">
        <v>26</v>
      </c>
      <c r="M1109" t="s">
        <v>57</v>
      </c>
      <c r="O1109" t="s">
        <v>37</v>
      </c>
      <c r="Q1109">
        <f t="shared" si="68"/>
        <v>1</v>
      </c>
      <c r="R1109" s="3">
        <f t="shared" si="69"/>
        <v>5</v>
      </c>
      <c r="S1109">
        <f t="shared" si="70"/>
        <v>0</v>
      </c>
      <c r="T1109">
        <f t="shared" si="71"/>
        <v>0</v>
      </c>
    </row>
    <row r="1110" spans="1:20" x14ac:dyDescent="0.25">
      <c r="A1110" t="s">
        <v>1176</v>
      </c>
      <c r="B1110">
        <v>1109</v>
      </c>
      <c r="C1110" t="s">
        <v>36</v>
      </c>
      <c r="D1110" t="s">
        <v>64</v>
      </c>
      <c r="E1110" t="s">
        <v>56</v>
      </c>
      <c r="F1110" s="2">
        <v>45760</v>
      </c>
      <c r="G1110" s="2">
        <v>45761</v>
      </c>
      <c r="H1110" t="s">
        <v>61</v>
      </c>
      <c r="I1110" t="s">
        <v>42</v>
      </c>
      <c r="J1110" s="2">
        <v>45766</v>
      </c>
      <c r="K1110" s="2">
        <v>45766</v>
      </c>
      <c r="L1110" t="s">
        <v>26</v>
      </c>
      <c r="M1110" t="s">
        <v>57</v>
      </c>
      <c r="O1110" t="s">
        <v>43</v>
      </c>
      <c r="Q1110">
        <f t="shared" si="68"/>
        <v>1</v>
      </c>
      <c r="R1110" s="3">
        <f t="shared" si="69"/>
        <v>6</v>
      </c>
      <c r="S1110">
        <f t="shared" si="70"/>
        <v>0</v>
      </c>
      <c r="T1110">
        <f t="shared" si="71"/>
        <v>0</v>
      </c>
    </row>
    <row r="1111" spans="1:20" x14ac:dyDescent="0.25">
      <c r="A1111" t="s">
        <v>1177</v>
      </c>
      <c r="B1111">
        <v>1110</v>
      </c>
      <c r="C1111" t="s">
        <v>36</v>
      </c>
      <c r="D1111" t="s">
        <v>22</v>
      </c>
      <c r="E1111" t="s">
        <v>53</v>
      </c>
      <c r="F1111" s="2">
        <v>45738</v>
      </c>
      <c r="G1111" s="2">
        <v>45738</v>
      </c>
      <c r="H1111" t="s">
        <v>61</v>
      </c>
      <c r="I1111" t="s">
        <v>85</v>
      </c>
      <c r="J1111" s="2">
        <v>45740</v>
      </c>
      <c r="K1111" s="2">
        <v>45740</v>
      </c>
      <c r="L1111" t="s">
        <v>46</v>
      </c>
      <c r="M1111" t="s">
        <v>57</v>
      </c>
      <c r="O1111" t="s">
        <v>37</v>
      </c>
      <c r="Q1111">
        <f t="shared" si="68"/>
        <v>1</v>
      </c>
      <c r="R1111" s="3">
        <f t="shared" si="69"/>
        <v>2</v>
      </c>
      <c r="S1111">
        <f t="shared" si="70"/>
        <v>0</v>
      </c>
      <c r="T1111">
        <f t="shared" si="71"/>
        <v>1</v>
      </c>
    </row>
    <row r="1112" spans="1:20" x14ac:dyDescent="0.25">
      <c r="A1112" t="s">
        <v>1178</v>
      </c>
      <c r="B1112">
        <v>1111</v>
      </c>
      <c r="C1112" t="s">
        <v>78</v>
      </c>
      <c r="D1112" t="s">
        <v>64</v>
      </c>
      <c r="E1112" t="s">
        <v>53</v>
      </c>
      <c r="F1112" s="2">
        <v>45714</v>
      </c>
      <c r="G1112" s="2">
        <v>45714</v>
      </c>
      <c r="H1112" t="s">
        <v>41</v>
      </c>
      <c r="I1112" t="s">
        <v>54</v>
      </c>
      <c r="J1112" s="2">
        <v>45719</v>
      </c>
      <c r="K1112" s="2">
        <v>45720</v>
      </c>
      <c r="L1112" t="s">
        <v>26</v>
      </c>
      <c r="M1112" t="s">
        <v>32</v>
      </c>
      <c r="N1112" t="s">
        <v>75</v>
      </c>
      <c r="O1112" t="s">
        <v>28</v>
      </c>
      <c r="Q1112">
        <f t="shared" si="68"/>
        <v>0</v>
      </c>
      <c r="R1112" s="3">
        <f t="shared" si="69"/>
        <v>5</v>
      </c>
      <c r="S1112">
        <f t="shared" si="70"/>
        <v>1</v>
      </c>
      <c r="T1112">
        <f t="shared" si="71"/>
        <v>0</v>
      </c>
    </row>
    <row r="1113" spans="1:20" x14ac:dyDescent="0.25">
      <c r="A1113" t="s">
        <v>1179</v>
      </c>
      <c r="B1113">
        <v>1112</v>
      </c>
      <c r="C1113" t="s">
        <v>21</v>
      </c>
      <c r="D1113" t="s">
        <v>64</v>
      </c>
      <c r="E1113" t="s">
        <v>23</v>
      </c>
      <c r="F1113" s="2">
        <v>45741</v>
      </c>
      <c r="G1113" s="2">
        <v>45742</v>
      </c>
      <c r="H1113" t="s">
        <v>61</v>
      </c>
      <c r="I1113" t="s">
        <v>83</v>
      </c>
      <c r="J1113" s="2">
        <v>45748</v>
      </c>
      <c r="K1113" s="2">
        <v>45748</v>
      </c>
      <c r="L1113" t="s">
        <v>26</v>
      </c>
      <c r="M1113" t="s">
        <v>57</v>
      </c>
      <c r="O1113" t="s">
        <v>37</v>
      </c>
      <c r="Q1113">
        <f t="shared" si="68"/>
        <v>1</v>
      </c>
      <c r="R1113" s="3">
        <f t="shared" si="69"/>
        <v>7</v>
      </c>
      <c r="S1113">
        <f t="shared" si="70"/>
        <v>0</v>
      </c>
      <c r="T1113">
        <f t="shared" si="71"/>
        <v>0</v>
      </c>
    </row>
    <row r="1114" spans="1:20" x14ac:dyDescent="0.25">
      <c r="A1114" t="s">
        <v>1180</v>
      </c>
      <c r="B1114">
        <v>1113</v>
      </c>
      <c r="C1114" t="s">
        <v>21</v>
      </c>
      <c r="D1114" t="s">
        <v>39</v>
      </c>
      <c r="E1114" t="s">
        <v>53</v>
      </c>
      <c r="F1114" s="2">
        <v>45835</v>
      </c>
      <c r="G1114" s="2">
        <v>45836</v>
      </c>
      <c r="H1114" t="s">
        <v>61</v>
      </c>
      <c r="I1114" t="s">
        <v>25</v>
      </c>
      <c r="J1114" s="2">
        <v>45840</v>
      </c>
      <c r="K1114" s="2">
        <v>45840</v>
      </c>
      <c r="L1114" t="s">
        <v>26</v>
      </c>
      <c r="M1114" t="s">
        <v>57</v>
      </c>
      <c r="O1114" t="s">
        <v>81</v>
      </c>
      <c r="P1114" t="s">
        <v>93</v>
      </c>
      <c r="Q1114">
        <f t="shared" si="68"/>
        <v>1</v>
      </c>
      <c r="R1114" s="3">
        <f t="shared" si="69"/>
        <v>5</v>
      </c>
      <c r="S1114">
        <f t="shared" si="70"/>
        <v>0</v>
      </c>
      <c r="T1114">
        <f t="shared" si="71"/>
        <v>0</v>
      </c>
    </row>
    <row r="1115" spans="1:20" x14ac:dyDescent="0.25">
      <c r="A1115" t="s">
        <v>1181</v>
      </c>
      <c r="B1115">
        <v>1114</v>
      </c>
      <c r="C1115" t="s">
        <v>21</v>
      </c>
      <c r="D1115" t="s">
        <v>52</v>
      </c>
      <c r="E1115" t="s">
        <v>56</v>
      </c>
      <c r="F1115" s="2">
        <v>45742</v>
      </c>
      <c r="G1115" s="2">
        <v>45742</v>
      </c>
      <c r="H1115" t="s">
        <v>31</v>
      </c>
      <c r="I1115" t="s">
        <v>54</v>
      </c>
      <c r="J1115" s="2">
        <v>45745</v>
      </c>
      <c r="K1115" s="2">
        <v>45745</v>
      </c>
      <c r="L1115" t="s">
        <v>26</v>
      </c>
      <c r="M1115" t="s">
        <v>27</v>
      </c>
      <c r="O1115" t="s">
        <v>34</v>
      </c>
      <c r="Q1115">
        <f t="shared" si="68"/>
        <v>1</v>
      </c>
      <c r="R1115" s="3">
        <f t="shared" si="69"/>
        <v>3</v>
      </c>
      <c r="S1115">
        <f t="shared" si="70"/>
        <v>0</v>
      </c>
      <c r="T1115">
        <f t="shared" si="71"/>
        <v>0</v>
      </c>
    </row>
    <row r="1116" spans="1:20" x14ac:dyDescent="0.25">
      <c r="A1116" t="s">
        <v>1182</v>
      </c>
      <c r="B1116">
        <v>1115</v>
      </c>
      <c r="C1116" t="s">
        <v>36</v>
      </c>
      <c r="D1116" t="s">
        <v>64</v>
      </c>
      <c r="E1116" t="s">
        <v>56</v>
      </c>
      <c r="F1116" s="2">
        <v>45970</v>
      </c>
      <c r="G1116" s="2">
        <v>45971</v>
      </c>
      <c r="H1116" t="s">
        <v>41</v>
      </c>
      <c r="I1116" t="s">
        <v>62</v>
      </c>
      <c r="J1116" s="2">
        <v>45973</v>
      </c>
      <c r="K1116" s="2">
        <v>45973</v>
      </c>
      <c r="L1116" t="s">
        <v>26</v>
      </c>
      <c r="M1116" t="s">
        <v>57</v>
      </c>
      <c r="O1116" t="s">
        <v>43</v>
      </c>
      <c r="Q1116">
        <f t="shared" si="68"/>
        <v>1</v>
      </c>
      <c r="R1116" s="3">
        <f t="shared" si="69"/>
        <v>3</v>
      </c>
      <c r="S1116">
        <f t="shared" si="70"/>
        <v>0</v>
      </c>
      <c r="T1116">
        <f t="shared" si="71"/>
        <v>0</v>
      </c>
    </row>
    <row r="1117" spans="1:20" x14ac:dyDescent="0.25">
      <c r="A1117" t="s">
        <v>1183</v>
      </c>
      <c r="B1117">
        <v>1116</v>
      </c>
      <c r="C1117" t="s">
        <v>36</v>
      </c>
      <c r="D1117" t="s">
        <v>22</v>
      </c>
      <c r="E1117" t="s">
        <v>56</v>
      </c>
      <c r="F1117" s="2">
        <v>45817</v>
      </c>
      <c r="G1117" s="2">
        <v>45818</v>
      </c>
      <c r="H1117" t="s">
        <v>45</v>
      </c>
      <c r="I1117" t="s">
        <v>83</v>
      </c>
      <c r="J1117" s="2">
        <v>45820</v>
      </c>
      <c r="K1117" s="2">
        <v>45820</v>
      </c>
      <c r="L1117" t="s">
        <v>26</v>
      </c>
      <c r="M1117" t="s">
        <v>57</v>
      </c>
      <c r="O1117" t="s">
        <v>43</v>
      </c>
      <c r="Q1117">
        <f t="shared" si="68"/>
        <v>1</v>
      </c>
      <c r="R1117" s="3">
        <f t="shared" si="69"/>
        <v>3</v>
      </c>
      <c r="S1117">
        <f t="shared" si="70"/>
        <v>0</v>
      </c>
      <c r="T1117">
        <f t="shared" si="71"/>
        <v>0</v>
      </c>
    </row>
    <row r="1118" spans="1:20" x14ac:dyDescent="0.25">
      <c r="A1118" t="s">
        <v>1184</v>
      </c>
      <c r="B1118">
        <v>1117</v>
      </c>
      <c r="C1118" t="s">
        <v>21</v>
      </c>
      <c r="D1118" t="s">
        <v>39</v>
      </c>
      <c r="E1118" t="s">
        <v>23</v>
      </c>
      <c r="F1118" s="2">
        <v>45693</v>
      </c>
      <c r="G1118" s="2">
        <v>45694</v>
      </c>
      <c r="H1118" t="s">
        <v>45</v>
      </c>
      <c r="I1118" t="s">
        <v>73</v>
      </c>
      <c r="J1118" s="2">
        <v>45697</v>
      </c>
      <c r="K1118" s="2">
        <v>45700</v>
      </c>
      <c r="L1118" t="s">
        <v>26</v>
      </c>
      <c r="M1118" t="s">
        <v>32</v>
      </c>
      <c r="N1118" t="s">
        <v>49</v>
      </c>
      <c r="O1118" t="s">
        <v>81</v>
      </c>
      <c r="Q1118">
        <f t="shared" si="68"/>
        <v>0</v>
      </c>
      <c r="R1118" s="3">
        <f t="shared" si="69"/>
        <v>4</v>
      </c>
      <c r="S1118">
        <f t="shared" si="70"/>
        <v>1</v>
      </c>
      <c r="T1118">
        <f t="shared" si="71"/>
        <v>0</v>
      </c>
    </row>
    <row r="1119" spans="1:20" x14ac:dyDescent="0.25">
      <c r="A1119" t="s">
        <v>1185</v>
      </c>
      <c r="B1119">
        <v>1118</v>
      </c>
      <c r="C1119" t="s">
        <v>36</v>
      </c>
      <c r="D1119" t="s">
        <v>39</v>
      </c>
      <c r="E1119" t="s">
        <v>56</v>
      </c>
      <c r="F1119" s="2">
        <v>45918</v>
      </c>
      <c r="G1119" s="2">
        <v>45918</v>
      </c>
      <c r="H1119" t="s">
        <v>61</v>
      </c>
      <c r="I1119" t="s">
        <v>62</v>
      </c>
      <c r="J1119" s="2">
        <v>45919</v>
      </c>
      <c r="K1119" s="2">
        <v>45919</v>
      </c>
      <c r="L1119" t="s">
        <v>26</v>
      </c>
      <c r="M1119" t="s">
        <v>27</v>
      </c>
      <c r="O1119" t="s">
        <v>28</v>
      </c>
      <c r="Q1119">
        <f t="shared" si="68"/>
        <v>1</v>
      </c>
      <c r="R1119" s="3">
        <f t="shared" si="69"/>
        <v>1</v>
      </c>
      <c r="S1119">
        <f t="shared" si="70"/>
        <v>0</v>
      </c>
      <c r="T1119">
        <f t="shared" si="71"/>
        <v>0</v>
      </c>
    </row>
    <row r="1120" spans="1:20" x14ac:dyDescent="0.25">
      <c r="A1120" t="s">
        <v>1186</v>
      </c>
      <c r="B1120">
        <v>1119</v>
      </c>
      <c r="C1120" t="s">
        <v>78</v>
      </c>
      <c r="D1120" t="s">
        <v>30</v>
      </c>
      <c r="E1120" t="s">
        <v>40</v>
      </c>
      <c r="F1120" s="2">
        <v>45966</v>
      </c>
      <c r="G1120" s="2">
        <v>45968</v>
      </c>
      <c r="H1120" t="s">
        <v>31</v>
      </c>
      <c r="I1120" t="s">
        <v>42</v>
      </c>
      <c r="J1120" s="2">
        <v>45971</v>
      </c>
      <c r="K1120" s="2">
        <v>45971</v>
      </c>
      <c r="L1120" t="s">
        <v>26</v>
      </c>
      <c r="M1120" t="s">
        <v>27</v>
      </c>
      <c r="O1120" t="s">
        <v>43</v>
      </c>
      <c r="Q1120">
        <f t="shared" si="68"/>
        <v>1</v>
      </c>
      <c r="R1120" s="3">
        <f t="shared" si="69"/>
        <v>5</v>
      </c>
      <c r="S1120">
        <f t="shared" si="70"/>
        <v>0</v>
      </c>
      <c r="T1120">
        <f t="shared" si="71"/>
        <v>0</v>
      </c>
    </row>
    <row r="1121" spans="1:20" x14ac:dyDescent="0.25">
      <c r="A1121" t="s">
        <v>1187</v>
      </c>
      <c r="B1121">
        <v>1120</v>
      </c>
      <c r="C1121" t="s">
        <v>78</v>
      </c>
      <c r="D1121" t="s">
        <v>30</v>
      </c>
      <c r="E1121" t="s">
        <v>56</v>
      </c>
      <c r="F1121" s="2">
        <v>45832</v>
      </c>
      <c r="G1121" s="2">
        <v>45833</v>
      </c>
      <c r="H1121" t="s">
        <v>61</v>
      </c>
      <c r="I1121" t="s">
        <v>85</v>
      </c>
      <c r="J1121" s="2">
        <v>45836</v>
      </c>
      <c r="K1121" s="2">
        <v>45836</v>
      </c>
      <c r="L1121" t="s">
        <v>26</v>
      </c>
      <c r="M1121" t="s">
        <v>27</v>
      </c>
      <c r="O1121" t="s">
        <v>43</v>
      </c>
      <c r="P1121" t="s">
        <v>71</v>
      </c>
      <c r="Q1121">
        <f t="shared" si="68"/>
        <v>1</v>
      </c>
      <c r="R1121" s="3">
        <f t="shared" si="69"/>
        <v>4</v>
      </c>
      <c r="S1121">
        <f t="shared" si="70"/>
        <v>0</v>
      </c>
      <c r="T1121">
        <f t="shared" si="71"/>
        <v>0</v>
      </c>
    </row>
    <row r="1122" spans="1:20" x14ac:dyDescent="0.25">
      <c r="A1122" t="s">
        <v>1188</v>
      </c>
      <c r="B1122">
        <v>1121</v>
      </c>
      <c r="C1122" t="s">
        <v>51</v>
      </c>
      <c r="D1122" t="s">
        <v>39</v>
      </c>
      <c r="E1122" t="s">
        <v>23</v>
      </c>
      <c r="F1122" s="2">
        <v>45684</v>
      </c>
      <c r="G1122" s="2">
        <v>45685</v>
      </c>
      <c r="H1122" t="s">
        <v>41</v>
      </c>
      <c r="I1122" t="s">
        <v>54</v>
      </c>
      <c r="J1122" s="2">
        <v>45688</v>
      </c>
      <c r="K1122" s="2">
        <v>45688</v>
      </c>
      <c r="L1122" t="s">
        <v>26</v>
      </c>
      <c r="M1122" t="s">
        <v>57</v>
      </c>
      <c r="O1122" t="s">
        <v>37</v>
      </c>
      <c r="P1122" t="s">
        <v>76</v>
      </c>
      <c r="Q1122">
        <f t="shared" si="68"/>
        <v>1</v>
      </c>
      <c r="R1122" s="3">
        <f t="shared" si="69"/>
        <v>4</v>
      </c>
      <c r="S1122">
        <f t="shared" si="70"/>
        <v>0</v>
      </c>
      <c r="T1122">
        <f t="shared" si="71"/>
        <v>0</v>
      </c>
    </row>
    <row r="1123" spans="1:20" x14ac:dyDescent="0.25">
      <c r="A1123" t="s">
        <v>1189</v>
      </c>
      <c r="B1123">
        <v>1122</v>
      </c>
      <c r="C1123" t="s">
        <v>59</v>
      </c>
      <c r="D1123" t="s">
        <v>39</v>
      </c>
      <c r="E1123" t="s">
        <v>53</v>
      </c>
      <c r="F1123" s="2">
        <v>45908</v>
      </c>
      <c r="G1123" s="2">
        <v>45909</v>
      </c>
      <c r="H1123" t="s">
        <v>61</v>
      </c>
      <c r="I1123" t="s">
        <v>85</v>
      </c>
      <c r="J1123" s="2">
        <v>45911</v>
      </c>
      <c r="K1123" s="2">
        <v>45911</v>
      </c>
      <c r="L1123" t="s">
        <v>26</v>
      </c>
      <c r="M1123" t="s">
        <v>27</v>
      </c>
      <c r="O1123" t="s">
        <v>28</v>
      </c>
      <c r="Q1123">
        <f t="shared" si="68"/>
        <v>1</v>
      </c>
      <c r="R1123" s="3">
        <f t="shared" si="69"/>
        <v>3</v>
      </c>
      <c r="S1123">
        <f t="shared" si="70"/>
        <v>0</v>
      </c>
      <c r="T1123">
        <f t="shared" si="71"/>
        <v>0</v>
      </c>
    </row>
    <row r="1124" spans="1:20" x14ac:dyDescent="0.25">
      <c r="A1124" t="s">
        <v>1190</v>
      </c>
      <c r="B1124">
        <v>1123</v>
      </c>
      <c r="C1124" t="s">
        <v>51</v>
      </c>
      <c r="D1124" t="s">
        <v>30</v>
      </c>
      <c r="E1124" t="s">
        <v>56</v>
      </c>
      <c r="F1124" s="2">
        <v>45954</v>
      </c>
      <c r="G1124" s="2">
        <v>45954</v>
      </c>
      <c r="H1124" t="s">
        <v>61</v>
      </c>
      <c r="I1124" t="s">
        <v>54</v>
      </c>
      <c r="J1124" s="2">
        <v>45956</v>
      </c>
      <c r="K1124" s="2">
        <v>45956</v>
      </c>
      <c r="L1124" t="s">
        <v>26</v>
      </c>
      <c r="M1124" t="s">
        <v>27</v>
      </c>
      <c r="O1124" t="s">
        <v>81</v>
      </c>
      <c r="Q1124">
        <f t="shared" si="68"/>
        <v>1</v>
      </c>
      <c r="R1124" s="3">
        <f t="shared" si="69"/>
        <v>2</v>
      </c>
      <c r="S1124">
        <f t="shared" si="70"/>
        <v>0</v>
      </c>
      <c r="T1124">
        <f t="shared" si="71"/>
        <v>0</v>
      </c>
    </row>
    <row r="1125" spans="1:20" x14ac:dyDescent="0.25">
      <c r="A1125" t="s">
        <v>1191</v>
      </c>
      <c r="B1125">
        <v>1124</v>
      </c>
      <c r="C1125" t="s">
        <v>21</v>
      </c>
      <c r="D1125" t="s">
        <v>64</v>
      </c>
      <c r="E1125" t="s">
        <v>56</v>
      </c>
      <c r="F1125" s="2">
        <v>46000</v>
      </c>
      <c r="G1125" s="2">
        <v>46000</v>
      </c>
      <c r="H1125" t="s">
        <v>61</v>
      </c>
      <c r="I1125" t="s">
        <v>83</v>
      </c>
      <c r="J1125" s="2">
        <v>46002</v>
      </c>
      <c r="K1125" s="2">
        <v>46004</v>
      </c>
      <c r="L1125" t="s">
        <v>26</v>
      </c>
      <c r="M1125" t="s">
        <v>32</v>
      </c>
      <c r="N1125" t="s">
        <v>49</v>
      </c>
      <c r="O1125" t="s">
        <v>81</v>
      </c>
      <c r="P1125" t="s">
        <v>88</v>
      </c>
      <c r="Q1125">
        <f t="shared" si="68"/>
        <v>0</v>
      </c>
      <c r="R1125" s="3">
        <f t="shared" si="69"/>
        <v>2</v>
      </c>
      <c r="S1125">
        <f t="shared" si="70"/>
        <v>1</v>
      </c>
      <c r="T1125">
        <f t="shared" si="71"/>
        <v>0</v>
      </c>
    </row>
    <row r="1126" spans="1:20" x14ac:dyDescent="0.25">
      <c r="A1126" t="s">
        <v>1192</v>
      </c>
      <c r="B1126">
        <v>1125</v>
      </c>
      <c r="C1126" t="s">
        <v>51</v>
      </c>
      <c r="D1126" t="s">
        <v>22</v>
      </c>
      <c r="E1126" t="s">
        <v>56</v>
      </c>
      <c r="F1126" s="2">
        <v>45944</v>
      </c>
      <c r="G1126" s="2">
        <v>45944</v>
      </c>
      <c r="H1126" t="s">
        <v>24</v>
      </c>
      <c r="I1126" t="s">
        <v>54</v>
      </c>
      <c r="J1126" s="2">
        <v>45948</v>
      </c>
      <c r="K1126" s="2">
        <v>45948</v>
      </c>
      <c r="L1126" t="s">
        <v>26</v>
      </c>
      <c r="M1126" t="s">
        <v>57</v>
      </c>
      <c r="O1126" t="s">
        <v>28</v>
      </c>
      <c r="Q1126">
        <f t="shared" si="68"/>
        <v>1</v>
      </c>
      <c r="R1126" s="3">
        <f t="shared" si="69"/>
        <v>4</v>
      </c>
      <c r="S1126">
        <f t="shared" si="70"/>
        <v>0</v>
      </c>
      <c r="T1126">
        <f t="shared" si="71"/>
        <v>0</v>
      </c>
    </row>
    <row r="1127" spans="1:20" x14ac:dyDescent="0.25">
      <c r="A1127" t="s">
        <v>1193</v>
      </c>
      <c r="B1127">
        <v>1126</v>
      </c>
      <c r="C1127" t="s">
        <v>51</v>
      </c>
      <c r="D1127" t="s">
        <v>64</v>
      </c>
      <c r="E1127" t="s">
        <v>60</v>
      </c>
      <c r="F1127" s="2">
        <v>45909</v>
      </c>
      <c r="G1127" s="2">
        <v>45910</v>
      </c>
      <c r="H1127" t="s">
        <v>24</v>
      </c>
      <c r="I1127" t="s">
        <v>25</v>
      </c>
      <c r="J1127" s="2">
        <v>45911</v>
      </c>
      <c r="K1127" s="2">
        <v>45911</v>
      </c>
      <c r="L1127" t="s">
        <v>26</v>
      </c>
      <c r="M1127" t="s">
        <v>57</v>
      </c>
      <c r="O1127" t="s">
        <v>34</v>
      </c>
      <c r="Q1127">
        <f t="shared" si="68"/>
        <v>1</v>
      </c>
      <c r="R1127" s="3">
        <f t="shared" si="69"/>
        <v>2</v>
      </c>
      <c r="S1127">
        <f t="shared" si="70"/>
        <v>0</v>
      </c>
      <c r="T1127">
        <f t="shared" si="71"/>
        <v>0</v>
      </c>
    </row>
    <row r="1128" spans="1:20" x14ac:dyDescent="0.25">
      <c r="A1128" t="s">
        <v>1194</v>
      </c>
      <c r="B1128">
        <v>1127</v>
      </c>
      <c r="C1128" t="s">
        <v>51</v>
      </c>
      <c r="D1128" t="s">
        <v>52</v>
      </c>
      <c r="E1128" t="s">
        <v>56</v>
      </c>
      <c r="F1128" s="2">
        <v>45794</v>
      </c>
      <c r="G1128" s="2">
        <v>45796</v>
      </c>
      <c r="H1128" t="s">
        <v>61</v>
      </c>
      <c r="I1128" t="s">
        <v>62</v>
      </c>
      <c r="J1128" s="2">
        <v>45800</v>
      </c>
      <c r="K1128" s="2">
        <v>45800</v>
      </c>
      <c r="L1128" t="s">
        <v>26</v>
      </c>
      <c r="M1128" t="s">
        <v>57</v>
      </c>
      <c r="O1128" t="s">
        <v>28</v>
      </c>
      <c r="P1128" t="s">
        <v>71</v>
      </c>
      <c r="Q1128">
        <f t="shared" si="68"/>
        <v>1</v>
      </c>
      <c r="R1128" s="3">
        <f t="shared" si="69"/>
        <v>6</v>
      </c>
      <c r="S1128">
        <f t="shared" si="70"/>
        <v>0</v>
      </c>
      <c r="T1128">
        <f t="shared" si="71"/>
        <v>0</v>
      </c>
    </row>
    <row r="1129" spans="1:20" x14ac:dyDescent="0.25">
      <c r="A1129" t="s">
        <v>1195</v>
      </c>
      <c r="B1129">
        <v>1128</v>
      </c>
      <c r="C1129" t="s">
        <v>21</v>
      </c>
      <c r="D1129" t="s">
        <v>52</v>
      </c>
      <c r="E1129" t="s">
        <v>40</v>
      </c>
      <c r="F1129" s="2">
        <v>45760</v>
      </c>
      <c r="G1129" s="2">
        <v>45761</v>
      </c>
      <c r="H1129" t="s">
        <v>24</v>
      </c>
      <c r="I1129" t="s">
        <v>83</v>
      </c>
      <c r="J1129" s="2">
        <v>45764</v>
      </c>
      <c r="K1129" s="2">
        <v>45764</v>
      </c>
      <c r="L1129" t="s">
        <v>46</v>
      </c>
      <c r="M1129" t="s">
        <v>57</v>
      </c>
      <c r="O1129" t="s">
        <v>43</v>
      </c>
      <c r="Q1129">
        <f t="shared" si="68"/>
        <v>1</v>
      </c>
      <c r="R1129" s="3">
        <f t="shared" si="69"/>
        <v>4</v>
      </c>
      <c r="S1129">
        <f t="shared" si="70"/>
        <v>0</v>
      </c>
      <c r="T1129">
        <f t="shared" si="71"/>
        <v>1</v>
      </c>
    </row>
    <row r="1130" spans="1:20" x14ac:dyDescent="0.25">
      <c r="A1130" t="s">
        <v>1196</v>
      </c>
      <c r="B1130">
        <v>1129</v>
      </c>
      <c r="C1130" t="s">
        <v>51</v>
      </c>
      <c r="D1130" t="s">
        <v>30</v>
      </c>
      <c r="E1130" t="s">
        <v>40</v>
      </c>
      <c r="F1130" s="2">
        <v>45674</v>
      </c>
      <c r="G1130" s="2">
        <v>45676</v>
      </c>
      <c r="H1130" t="s">
        <v>61</v>
      </c>
      <c r="I1130" t="s">
        <v>85</v>
      </c>
      <c r="J1130" s="2">
        <v>45680</v>
      </c>
      <c r="K1130" s="2">
        <v>45680</v>
      </c>
      <c r="L1130" t="s">
        <v>26</v>
      </c>
      <c r="M1130" t="s">
        <v>27</v>
      </c>
      <c r="O1130" t="s">
        <v>69</v>
      </c>
      <c r="Q1130">
        <f t="shared" si="68"/>
        <v>1</v>
      </c>
      <c r="R1130" s="3">
        <f t="shared" si="69"/>
        <v>6</v>
      </c>
      <c r="S1130">
        <f t="shared" si="70"/>
        <v>0</v>
      </c>
      <c r="T1130">
        <f t="shared" si="71"/>
        <v>0</v>
      </c>
    </row>
    <row r="1131" spans="1:20" x14ac:dyDescent="0.25">
      <c r="A1131" t="s">
        <v>1197</v>
      </c>
      <c r="B1131">
        <v>1130</v>
      </c>
      <c r="C1131" t="s">
        <v>21</v>
      </c>
      <c r="D1131" t="s">
        <v>30</v>
      </c>
      <c r="E1131" t="s">
        <v>40</v>
      </c>
      <c r="F1131" s="2">
        <v>45986</v>
      </c>
      <c r="G1131" s="2">
        <v>45986</v>
      </c>
      <c r="H1131" t="s">
        <v>41</v>
      </c>
      <c r="I1131" t="s">
        <v>54</v>
      </c>
      <c r="J1131" s="2">
        <v>45992</v>
      </c>
      <c r="K1131" s="2">
        <v>45992</v>
      </c>
      <c r="L1131" t="s">
        <v>46</v>
      </c>
      <c r="M1131" t="s">
        <v>27</v>
      </c>
      <c r="O1131" t="s">
        <v>37</v>
      </c>
      <c r="P1131" t="s">
        <v>71</v>
      </c>
      <c r="Q1131">
        <f t="shared" si="68"/>
        <v>1</v>
      </c>
      <c r="R1131" s="3">
        <f t="shared" si="69"/>
        <v>6</v>
      </c>
      <c r="S1131">
        <f t="shared" si="70"/>
        <v>0</v>
      </c>
      <c r="T1131">
        <f t="shared" si="71"/>
        <v>1</v>
      </c>
    </row>
    <row r="1132" spans="1:20" x14ac:dyDescent="0.25">
      <c r="A1132" t="s">
        <v>1198</v>
      </c>
      <c r="B1132">
        <v>1131</v>
      </c>
      <c r="C1132" t="s">
        <v>36</v>
      </c>
      <c r="D1132" t="s">
        <v>64</v>
      </c>
      <c r="E1132" t="s">
        <v>40</v>
      </c>
      <c r="F1132" s="2">
        <v>45870</v>
      </c>
      <c r="G1132" s="2">
        <v>45870</v>
      </c>
      <c r="H1132" t="s">
        <v>24</v>
      </c>
      <c r="I1132" t="s">
        <v>54</v>
      </c>
      <c r="J1132" s="2">
        <v>45873</v>
      </c>
      <c r="K1132" s="2">
        <v>45873</v>
      </c>
      <c r="L1132" t="s">
        <v>26</v>
      </c>
      <c r="M1132" t="s">
        <v>27</v>
      </c>
      <c r="O1132" t="s">
        <v>28</v>
      </c>
      <c r="Q1132">
        <f t="shared" si="68"/>
        <v>1</v>
      </c>
      <c r="R1132" s="3">
        <f t="shared" si="69"/>
        <v>3</v>
      </c>
      <c r="S1132">
        <f t="shared" si="70"/>
        <v>0</v>
      </c>
      <c r="T1132">
        <f t="shared" si="71"/>
        <v>0</v>
      </c>
    </row>
    <row r="1133" spans="1:20" x14ac:dyDescent="0.25">
      <c r="A1133" t="s">
        <v>1199</v>
      </c>
      <c r="B1133">
        <v>1132</v>
      </c>
      <c r="C1133" t="s">
        <v>59</v>
      </c>
      <c r="D1133" t="s">
        <v>52</v>
      </c>
      <c r="E1133" t="s">
        <v>60</v>
      </c>
      <c r="F1133" s="2">
        <v>45803</v>
      </c>
      <c r="G1133" s="2">
        <v>45804</v>
      </c>
      <c r="H1133" t="s">
        <v>45</v>
      </c>
      <c r="I1133" t="s">
        <v>42</v>
      </c>
      <c r="J1133" s="2">
        <v>45806</v>
      </c>
      <c r="K1133" s="2">
        <v>45806</v>
      </c>
      <c r="L1133" t="s">
        <v>26</v>
      </c>
      <c r="M1133" t="s">
        <v>57</v>
      </c>
      <c r="O1133" t="s">
        <v>43</v>
      </c>
      <c r="Q1133">
        <f t="shared" si="68"/>
        <v>1</v>
      </c>
      <c r="R1133" s="3">
        <f t="shared" si="69"/>
        <v>3</v>
      </c>
      <c r="S1133">
        <f t="shared" si="70"/>
        <v>0</v>
      </c>
      <c r="T1133">
        <f t="shared" si="71"/>
        <v>0</v>
      </c>
    </row>
    <row r="1134" spans="1:20" x14ac:dyDescent="0.25">
      <c r="A1134" t="s">
        <v>1200</v>
      </c>
      <c r="B1134">
        <v>1133</v>
      </c>
      <c r="C1134" t="s">
        <v>36</v>
      </c>
      <c r="D1134" t="s">
        <v>64</v>
      </c>
      <c r="E1134" t="s">
        <v>40</v>
      </c>
      <c r="F1134" s="2">
        <v>45711</v>
      </c>
      <c r="G1134" s="2">
        <v>45711</v>
      </c>
      <c r="H1134" t="s">
        <v>45</v>
      </c>
      <c r="I1134" t="s">
        <v>42</v>
      </c>
      <c r="J1134" s="2">
        <v>45713</v>
      </c>
      <c r="K1134" s="2">
        <v>45713</v>
      </c>
      <c r="L1134" t="s">
        <v>46</v>
      </c>
      <c r="M1134" t="s">
        <v>57</v>
      </c>
      <c r="O1134" t="s">
        <v>81</v>
      </c>
      <c r="P1134" t="s">
        <v>88</v>
      </c>
      <c r="Q1134">
        <f t="shared" si="68"/>
        <v>1</v>
      </c>
      <c r="R1134" s="3">
        <f t="shared" si="69"/>
        <v>2</v>
      </c>
      <c r="S1134">
        <f t="shared" si="70"/>
        <v>0</v>
      </c>
      <c r="T1134">
        <f t="shared" si="71"/>
        <v>1</v>
      </c>
    </row>
    <row r="1135" spans="1:20" x14ac:dyDescent="0.25">
      <c r="A1135" t="s">
        <v>1201</v>
      </c>
      <c r="B1135">
        <v>1134</v>
      </c>
      <c r="C1135" t="s">
        <v>78</v>
      </c>
      <c r="D1135" t="s">
        <v>52</v>
      </c>
      <c r="E1135" t="s">
        <v>53</v>
      </c>
      <c r="F1135" s="2">
        <v>45804</v>
      </c>
      <c r="G1135" s="2">
        <v>45806</v>
      </c>
      <c r="H1135" t="s">
        <v>24</v>
      </c>
      <c r="I1135" t="s">
        <v>85</v>
      </c>
      <c r="J1135" s="2">
        <v>45808</v>
      </c>
      <c r="K1135" s="2">
        <v>45808</v>
      </c>
      <c r="L1135" t="s">
        <v>26</v>
      </c>
      <c r="M1135" t="s">
        <v>27</v>
      </c>
      <c r="O1135" t="s">
        <v>43</v>
      </c>
      <c r="P1135" t="s">
        <v>88</v>
      </c>
      <c r="Q1135">
        <f t="shared" si="68"/>
        <v>1</v>
      </c>
      <c r="R1135" s="3">
        <f t="shared" si="69"/>
        <v>4</v>
      </c>
      <c r="S1135">
        <f t="shared" si="70"/>
        <v>0</v>
      </c>
      <c r="T1135">
        <f t="shared" si="71"/>
        <v>0</v>
      </c>
    </row>
    <row r="1136" spans="1:20" x14ac:dyDescent="0.25">
      <c r="A1136" t="s">
        <v>1202</v>
      </c>
      <c r="B1136">
        <v>1135</v>
      </c>
      <c r="C1136" t="s">
        <v>78</v>
      </c>
      <c r="D1136" t="s">
        <v>52</v>
      </c>
      <c r="E1136" t="s">
        <v>60</v>
      </c>
      <c r="F1136" s="2">
        <v>45957</v>
      </c>
      <c r="G1136" s="2">
        <v>45959</v>
      </c>
      <c r="H1136" t="s">
        <v>61</v>
      </c>
      <c r="I1136" t="s">
        <v>85</v>
      </c>
      <c r="J1136" s="2">
        <v>45960</v>
      </c>
      <c r="K1136" s="2">
        <v>45960</v>
      </c>
      <c r="L1136" t="s">
        <v>26</v>
      </c>
      <c r="M1136" t="s">
        <v>57</v>
      </c>
      <c r="O1136" t="s">
        <v>37</v>
      </c>
      <c r="Q1136">
        <f t="shared" si="68"/>
        <v>1</v>
      </c>
      <c r="R1136" s="3">
        <f t="shared" si="69"/>
        <v>3</v>
      </c>
      <c r="S1136">
        <f t="shared" si="70"/>
        <v>0</v>
      </c>
      <c r="T1136">
        <f t="shared" si="71"/>
        <v>0</v>
      </c>
    </row>
    <row r="1137" spans="1:20" x14ac:dyDescent="0.25">
      <c r="A1137" t="s">
        <v>1203</v>
      </c>
      <c r="B1137">
        <v>1136</v>
      </c>
      <c r="C1137" t="s">
        <v>78</v>
      </c>
      <c r="D1137" t="s">
        <v>22</v>
      </c>
      <c r="E1137" t="s">
        <v>53</v>
      </c>
      <c r="F1137" s="2">
        <v>45770</v>
      </c>
      <c r="G1137" s="2">
        <v>45771</v>
      </c>
      <c r="H1137" t="s">
        <v>24</v>
      </c>
      <c r="I1137" t="s">
        <v>62</v>
      </c>
      <c r="J1137" s="2">
        <v>45772</v>
      </c>
      <c r="K1137" s="2">
        <v>45772</v>
      </c>
      <c r="L1137" t="s">
        <v>46</v>
      </c>
      <c r="M1137" t="s">
        <v>57</v>
      </c>
      <c r="O1137" t="s">
        <v>34</v>
      </c>
      <c r="Q1137">
        <f t="shared" si="68"/>
        <v>1</v>
      </c>
      <c r="R1137" s="3">
        <f t="shared" si="69"/>
        <v>2</v>
      </c>
      <c r="S1137">
        <f t="shared" si="70"/>
        <v>0</v>
      </c>
      <c r="T1137">
        <f t="shared" si="71"/>
        <v>1</v>
      </c>
    </row>
    <row r="1138" spans="1:20" x14ac:dyDescent="0.25">
      <c r="A1138" t="s">
        <v>1204</v>
      </c>
      <c r="B1138">
        <v>1137</v>
      </c>
      <c r="C1138" t="s">
        <v>36</v>
      </c>
      <c r="D1138" t="s">
        <v>64</v>
      </c>
      <c r="E1138" t="s">
        <v>53</v>
      </c>
      <c r="F1138" s="2">
        <v>45662</v>
      </c>
      <c r="G1138" s="2">
        <v>45662</v>
      </c>
      <c r="H1138" t="s">
        <v>45</v>
      </c>
      <c r="I1138" t="s">
        <v>54</v>
      </c>
      <c r="J1138" s="2">
        <v>45666</v>
      </c>
      <c r="K1138" s="2">
        <v>45666</v>
      </c>
      <c r="L1138" t="s">
        <v>26</v>
      </c>
      <c r="M1138" t="s">
        <v>27</v>
      </c>
      <c r="O1138" t="s">
        <v>34</v>
      </c>
      <c r="P1138" t="s">
        <v>93</v>
      </c>
      <c r="Q1138">
        <f t="shared" si="68"/>
        <v>1</v>
      </c>
      <c r="R1138" s="3">
        <f t="shared" si="69"/>
        <v>4</v>
      </c>
      <c r="S1138">
        <f t="shared" si="70"/>
        <v>0</v>
      </c>
      <c r="T1138">
        <f t="shared" si="71"/>
        <v>0</v>
      </c>
    </row>
    <row r="1139" spans="1:20" x14ac:dyDescent="0.25">
      <c r="A1139" t="s">
        <v>1205</v>
      </c>
      <c r="B1139">
        <v>1138</v>
      </c>
      <c r="C1139" t="s">
        <v>36</v>
      </c>
      <c r="D1139" t="s">
        <v>64</v>
      </c>
      <c r="E1139" t="s">
        <v>40</v>
      </c>
      <c r="F1139" s="2">
        <v>45826</v>
      </c>
      <c r="G1139" s="2">
        <v>45827</v>
      </c>
      <c r="H1139" t="s">
        <v>61</v>
      </c>
      <c r="I1139" t="s">
        <v>73</v>
      </c>
      <c r="J1139" s="2">
        <v>45830</v>
      </c>
      <c r="K1139" s="2">
        <v>45830</v>
      </c>
      <c r="L1139" t="s">
        <v>46</v>
      </c>
      <c r="M1139" t="s">
        <v>27</v>
      </c>
      <c r="O1139" t="s">
        <v>37</v>
      </c>
      <c r="Q1139">
        <f t="shared" si="68"/>
        <v>1</v>
      </c>
      <c r="R1139" s="3">
        <f t="shared" si="69"/>
        <v>4</v>
      </c>
      <c r="S1139">
        <f t="shared" si="70"/>
        <v>0</v>
      </c>
      <c r="T1139">
        <f t="shared" si="71"/>
        <v>1</v>
      </c>
    </row>
    <row r="1140" spans="1:20" x14ac:dyDescent="0.25">
      <c r="A1140" t="s">
        <v>1206</v>
      </c>
      <c r="B1140">
        <v>1139</v>
      </c>
      <c r="C1140" t="s">
        <v>21</v>
      </c>
      <c r="D1140" t="s">
        <v>30</v>
      </c>
      <c r="E1140" t="s">
        <v>53</v>
      </c>
      <c r="F1140" s="2">
        <v>45797</v>
      </c>
      <c r="G1140" s="2">
        <v>45799</v>
      </c>
      <c r="H1140" t="s">
        <v>24</v>
      </c>
      <c r="I1140" t="s">
        <v>25</v>
      </c>
      <c r="J1140" s="2">
        <v>45803</v>
      </c>
      <c r="K1140" s="2">
        <v>45803</v>
      </c>
      <c r="L1140" t="s">
        <v>46</v>
      </c>
      <c r="M1140" t="s">
        <v>57</v>
      </c>
      <c r="O1140" t="s">
        <v>34</v>
      </c>
      <c r="Q1140">
        <f t="shared" si="68"/>
        <v>1</v>
      </c>
      <c r="R1140" s="3">
        <f t="shared" si="69"/>
        <v>6</v>
      </c>
      <c r="S1140">
        <f t="shared" si="70"/>
        <v>0</v>
      </c>
      <c r="T1140">
        <f t="shared" si="71"/>
        <v>1</v>
      </c>
    </row>
    <row r="1141" spans="1:20" x14ac:dyDescent="0.25">
      <c r="A1141" t="s">
        <v>1207</v>
      </c>
      <c r="B1141">
        <v>1140</v>
      </c>
      <c r="C1141" t="s">
        <v>59</v>
      </c>
      <c r="D1141" t="s">
        <v>52</v>
      </c>
      <c r="E1141" t="s">
        <v>53</v>
      </c>
      <c r="F1141" s="2">
        <v>45958</v>
      </c>
      <c r="G1141" s="2">
        <v>45959</v>
      </c>
      <c r="H1141" t="s">
        <v>41</v>
      </c>
      <c r="I1141" t="s">
        <v>42</v>
      </c>
      <c r="J1141" s="2">
        <v>45964</v>
      </c>
      <c r="K1141" s="2">
        <v>45964</v>
      </c>
      <c r="L1141" t="s">
        <v>26</v>
      </c>
      <c r="M1141" t="s">
        <v>57</v>
      </c>
      <c r="O1141" t="s">
        <v>28</v>
      </c>
      <c r="Q1141">
        <f t="shared" si="68"/>
        <v>1</v>
      </c>
      <c r="R1141" s="3">
        <f t="shared" si="69"/>
        <v>6</v>
      </c>
      <c r="S1141">
        <f t="shared" si="70"/>
        <v>0</v>
      </c>
      <c r="T1141">
        <f t="shared" si="71"/>
        <v>0</v>
      </c>
    </row>
    <row r="1142" spans="1:20" x14ac:dyDescent="0.25">
      <c r="A1142" t="s">
        <v>1208</v>
      </c>
      <c r="B1142">
        <v>1141</v>
      </c>
      <c r="C1142" t="s">
        <v>36</v>
      </c>
      <c r="D1142" t="s">
        <v>22</v>
      </c>
      <c r="E1142" t="s">
        <v>23</v>
      </c>
      <c r="F1142" s="2">
        <v>45890</v>
      </c>
      <c r="G1142" s="2">
        <v>45892</v>
      </c>
      <c r="H1142" t="s">
        <v>45</v>
      </c>
      <c r="I1142" t="s">
        <v>25</v>
      </c>
      <c r="J1142" s="2">
        <v>45894</v>
      </c>
      <c r="K1142" s="2">
        <v>45894</v>
      </c>
      <c r="L1142" t="s">
        <v>26</v>
      </c>
      <c r="M1142" t="s">
        <v>27</v>
      </c>
      <c r="O1142" t="s">
        <v>69</v>
      </c>
      <c r="Q1142">
        <f t="shared" si="68"/>
        <v>1</v>
      </c>
      <c r="R1142" s="3">
        <f t="shared" si="69"/>
        <v>4</v>
      </c>
      <c r="S1142">
        <f t="shared" si="70"/>
        <v>0</v>
      </c>
      <c r="T1142">
        <f t="shared" si="71"/>
        <v>0</v>
      </c>
    </row>
    <row r="1143" spans="1:20" x14ac:dyDescent="0.25">
      <c r="A1143" t="s">
        <v>1209</v>
      </c>
      <c r="B1143">
        <v>1142</v>
      </c>
      <c r="C1143" t="s">
        <v>78</v>
      </c>
      <c r="D1143" t="s">
        <v>52</v>
      </c>
      <c r="E1143" t="s">
        <v>53</v>
      </c>
      <c r="F1143" s="2">
        <v>45849</v>
      </c>
      <c r="G1143" s="2">
        <v>45850</v>
      </c>
      <c r="H1143" t="s">
        <v>45</v>
      </c>
      <c r="I1143" t="s">
        <v>73</v>
      </c>
      <c r="J1143" s="2">
        <v>45852</v>
      </c>
      <c r="K1143" s="2">
        <v>45852</v>
      </c>
      <c r="L1143" t="s">
        <v>26</v>
      </c>
      <c r="M1143" t="s">
        <v>27</v>
      </c>
      <c r="O1143" t="s">
        <v>37</v>
      </c>
      <c r="Q1143">
        <f t="shared" si="68"/>
        <v>1</v>
      </c>
      <c r="R1143" s="3">
        <f t="shared" si="69"/>
        <v>3</v>
      </c>
      <c r="S1143">
        <f t="shared" si="70"/>
        <v>0</v>
      </c>
      <c r="T1143">
        <f t="shared" si="71"/>
        <v>0</v>
      </c>
    </row>
    <row r="1144" spans="1:20" x14ac:dyDescent="0.25">
      <c r="A1144" t="s">
        <v>1210</v>
      </c>
      <c r="B1144">
        <v>1143</v>
      </c>
      <c r="C1144" t="s">
        <v>78</v>
      </c>
      <c r="D1144" t="s">
        <v>64</v>
      </c>
      <c r="E1144" t="s">
        <v>53</v>
      </c>
      <c r="F1144" s="2">
        <v>45999</v>
      </c>
      <c r="G1144" s="2">
        <v>46000</v>
      </c>
      <c r="H1144" t="s">
        <v>24</v>
      </c>
      <c r="I1144" t="s">
        <v>42</v>
      </c>
      <c r="J1144" s="2">
        <v>46003</v>
      </c>
      <c r="K1144" s="2">
        <v>46003</v>
      </c>
      <c r="L1144" t="s">
        <v>46</v>
      </c>
      <c r="M1144" t="s">
        <v>57</v>
      </c>
      <c r="O1144" t="s">
        <v>43</v>
      </c>
      <c r="P1144" t="s">
        <v>88</v>
      </c>
      <c r="Q1144">
        <f t="shared" si="68"/>
        <v>1</v>
      </c>
      <c r="R1144" s="3">
        <f t="shared" si="69"/>
        <v>4</v>
      </c>
      <c r="S1144">
        <f t="shared" si="70"/>
        <v>0</v>
      </c>
      <c r="T1144">
        <f t="shared" si="71"/>
        <v>1</v>
      </c>
    </row>
    <row r="1145" spans="1:20" x14ac:dyDescent="0.25">
      <c r="A1145" t="s">
        <v>1211</v>
      </c>
      <c r="B1145">
        <v>1144</v>
      </c>
      <c r="C1145" t="s">
        <v>51</v>
      </c>
      <c r="D1145" t="s">
        <v>39</v>
      </c>
      <c r="E1145" t="s">
        <v>60</v>
      </c>
      <c r="F1145" s="2">
        <v>45973</v>
      </c>
      <c r="G1145" s="2">
        <v>45973</v>
      </c>
      <c r="H1145" t="s">
        <v>61</v>
      </c>
      <c r="I1145" t="s">
        <v>73</v>
      </c>
      <c r="J1145" s="2">
        <v>45975</v>
      </c>
      <c r="K1145" s="2">
        <v>45975</v>
      </c>
      <c r="L1145" t="s">
        <v>26</v>
      </c>
      <c r="M1145" t="s">
        <v>27</v>
      </c>
      <c r="O1145" t="s">
        <v>43</v>
      </c>
      <c r="Q1145">
        <f t="shared" si="68"/>
        <v>1</v>
      </c>
      <c r="R1145" s="3">
        <f t="shared" si="69"/>
        <v>2</v>
      </c>
      <c r="S1145">
        <f t="shared" si="70"/>
        <v>0</v>
      </c>
      <c r="T1145">
        <f t="shared" si="71"/>
        <v>0</v>
      </c>
    </row>
    <row r="1146" spans="1:20" x14ac:dyDescent="0.25">
      <c r="A1146" t="s">
        <v>1212</v>
      </c>
      <c r="B1146">
        <v>1145</v>
      </c>
      <c r="C1146" t="s">
        <v>78</v>
      </c>
      <c r="D1146" t="s">
        <v>52</v>
      </c>
      <c r="E1146" t="s">
        <v>56</v>
      </c>
      <c r="F1146" s="2">
        <v>45711</v>
      </c>
      <c r="G1146" s="2">
        <v>45712</v>
      </c>
      <c r="H1146" t="s">
        <v>41</v>
      </c>
      <c r="I1146" t="s">
        <v>42</v>
      </c>
      <c r="J1146" s="2">
        <v>45715</v>
      </c>
      <c r="K1146" s="2">
        <v>45715</v>
      </c>
      <c r="L1146" t="s">
        <v>26</v>
      </c>
      <c r="M1146" t="s">
        <v>57</v>
      </c>
      <c r="O1146" t="s">
        <v>37</v>
      </c>
      <c r="Q1146">
        <f t="shared" si="68"/>
        <v>1</v>
      </c>
      <c r="R1146" s="3">
        <f t="shared" si="69"/>
        <v>4</v>
      </c>
      <c r="S1146">
        <f t="shared" si="70"/>
        <v>0</v>
      </c>
      <c r="T1146">
        <f t="shared" si="71"/>
        <v>0</v>
      </c>
    </row>
    <row r="1147" spans="1:20" x14ac:dyDescent="0.25">
      <c r="A1147" t="s">
        <v>1213</v>
      </c>
      <c r="B1147">
        <v>1146</v>
      </c>
      <c r="C1147" t="s">
        <v>59</v>
      </c>
      <c r="D1147" t="s">
        <v>30</v>
      </c>
      <c r="E1147" t="s">
        <v>56</v>
      </c>
      <c r="F1147" s="2">
        <v>45749</v>
      </c>
      <c r="G1147" s="2">
        <v>45750</v>
      </c>
      <c r="H1147" t="s">
        <v>31</v>
      </c>
      <c r="I1147" t="s">
        <v>25</v>
      </c>
      <c r="J1147" s="2">
        <v>45755</v>
      </c>
      <c r="K1147" s="2">
        <v>45755</v>
      </c>
      <c r="L1147" t="s">
        <v>26</v>
      </c>
      <c r="M1147" t="s">
        <v>57</v>
      </c>
      <c r="O1147" t="s">
        <v>28</v>
      </c>
      <c r="Q1147">
        <f t="shared" si="68"/>
        <v>1</v>
      </c>
      <c r="R1147" s="3">
        <f t="shared" si="69"/>
        <v>6</v>
      </c>
      <c r="S1147">
        <f t="shared" si="70"/>
        <v>0</v>
      </c>
      <c r="T1147">
        <f t="shared" si="71"/>
        <v>0</v>
      </c>
    </row>
    <row r="1148" spans="1:20" x14ac:dyDescent="0.25">
      <c r="A1148" t="s">
        <v>1214</v>
      </c>
      <c r="B1148">
        <v>1147</v>
      </c>
      <c r="C1148" t="s">
        <v>59</v>
      </c>
      <c r="D1148" t="s">
        <v>52</v>
      </c>
      <c r="E1148" t="s">
        <v>60</v>
      </c>
      <c r="F1148" s="2">
        <v>45832</v>
      </c>
      <c r="G1148" s="2">
        <v>45834</v>
      </c>
      <c r="H1148" t="s">
        <v>45</v>
      </c>
      <c r="I1148" t="s">
        <v>85</v>
      </c>
      <c r="J1148" s="2">
        <v>45835</v>
      </c>
      <c r="K1148" s="2">
        <v>45837</v>
      </c>
      <c r="L1148" t="s">
        <v>26</v>
      </c>
      <c r="M1148" t="s">
        <v>32</v>
      </c>
      <c r="N1148" t="s">
        <v>49</v>
      </c>
      <c r="O1148" t="s">
        <v>37</v>
      </c>
      <c r="P1148" t="s">
        <v>93</v>
      </c>
      <c r="Q1148">
        <f t="shared" si="68"/>
        <v>0</v>
      </c>
      <c r="R1148" s="3">
        <f t="shared" si="69"/>
        <v>3</v>
      </c>
      <c r="S1148">
        <f t="shared" si="70"/>
        <v>1</v>
      </c>
      <c r="T1148">
        <f t="shared" si="71"/>
        <v>0</v>
      </c>
    </row>
    <row r="1149" spans="1:20" x14ac:dyDescent="0.25">
      <c r="A1149" t="s">
        <v>1215</v>
      </c>
      <c r="B1149">
        <v>1148</v>
      </c>
      <c r="C1149" t="s">
        <v>21</v>
      </c>
      <c r="D1149" t="s">
        <v>64</v>
      </c>
      <c r="E1149" t="s">
        <v>53</v>
      </c>
      <c r="F1149" s="2">
        <v>45679</v>
      </c>
      <c r="G1149" s="2">
        <v>45681</v>
      </c>
      <c r="H1149" t="s">
        <v>45</v>
      </c>
      <c r="I1149" t="s">
        <v>85</v>
      </c>
      <c r="J1149" s="2">
        <v>45682</v>
      </c>
      <c r="K1149" s="2">
        <v>45682</v>
      </c>
      <c r="L1149" t="s">
        <v>26</v>
      </c>
      <c r="M1149" t="s">
        <v>57</v>
      </c>
      <c r="O1149" t="s">
        <v>37</v>
      </c>
      <c r="Q1149">
        <f t="shared" si="68"/>
        <v>1</v>
      </c>
      <c r="R1149" s="3">
        <f t="shared" si="69"/>
        <v>3</v>
      </c>
      <c r="S1149">
        <f t="shared" si="70"/>
        <v>0</v>
      </c>
      <c r="T1149">
        <f t="shared" si="71"/>
        <v>0</v>
      </c>
    </row>
    <row r="1150" spans="1:20" x14ac:dyDescent="0.25">
      <c r="A1150" t="s">
        <v>1216</v>
      </c>
      <c r="B1150">
        <v>1149</v>
      </c>
      <c r="C1150" t="s">
        <v>36</v>
      </c>
      <c r="D1150" t="s">
        <v>22</v>
      </c>
      <c r="E1150" t="s">
        <v>23</v>
      </c>
      <c r="F1150" s="2">
        <v>45933</v>
      </c>
      <c r="G1150" s="2">
        <v>45934</v>
      </c>
      <c r="H1150" t="s">
        <v>61</v>
      </c>
      <c r="I1150" t="s">
        <v>25</v>
      </c>
      <c r="J1150" s="2">
        <v>45937</v>
      </c>
      <c r="K1150" s="2">
        <v>45937</v>
      </c>
      <c r="L1150" t="s">
        <v>46</v>
      </c>
      <c r="M1150" t="s">
        <v>27</v>
      </c>
      <c r="O1150" t="s">
        <v>69</v>
      </c>
      <c r="Q1150">
        <f t="shared" si="68"/>
        <v>1</v>
      </c>
      <c r="R1150" s="3">
        <f t="shared" si="69"/>
        <v>4</v>
      </c>
      <c r="S1150">
        <f t="shared" si="70"/>
        <v>0</v>
      </c>
      <c r="T1150">
        <f t="shared" si="71"/>
        <v>1</v>
      </c>
    </row>
    <row r="1151" spans="1:20" x14ac:dyDescent="0.25">
      <c r="A1151" t="s">
        <v>1217</v>
      </c>
      <c r="B1151">
        <v>1150</v>
      </c>
      <c r="C1151" t="s">
        <v>36</v>
      </c>
      <c r="D1151" t="s">
        <v>30</v>
      </c>
      <c r="E1151" t="s">
        <v>60</v>
      </c>
      <c r="F1151" s="2">
        <v>45988</v>
      </c>
      <c r="G1151" s="2">
        <v>45990</v>
      </c>
      <c r="H1151" t="s">
        <v>41</v>
      </c>
      <c r="I1151" t="s">
        <v>54</v>
      </c>
      <c r="J1151" s="2">
        <v>45993</v>
      </c>
      <c r="K1151" s="2">
        <v>45993</v>
      </c>
      <c r="L1151" t="s">
        <v>26</v>
      </c>
      <c r="M1151" t="s">
        <v>27</v>
      </c>
      <c r="O1151" t="s">
        <v>37</v>
      </c>
      <c r="Q1151">
        <f t="shared" si="68"/>
        <v>1</v>
      </c>
      <c r="R1151" s="3">
        <f t="shared" si="69"/>
        <v>5</v>
      </c>
      <c r="S1151">
        <f t="shared" si="70"/>
        <v>0</v>
      </c>
      <c r="T1151">
        <f t="shared" si="71"/>
        <v>0</v>
      </c>
    </row>
    <row r="1152" spans="1:20" x14ac:dyDescent="0.25">
      <c r="A1152" t="s">
        <v>1218</v>
      </c>
      <c r="B1152">
        <v>1151</v>
      </c>
      <c r="C1152" t="s">
        <v>59</v>
      </c>
      <c r="D1152" t="s">
        <v>22</v>
      </c>
      <c r="E1152" t="s">
        <v>60</v>
      </c>
      <c r="F1152" s="2">
        <v>45787</v>
      </c>
      <c r="G1152" s="2">
        <v>45787</v>
      </c>
      <c r="H1152" t="s">
        <v>31</v>
      </c>
      <c r="I1152" t="s">
        <v>42</v>
      </c>
      <c r="J1152" s="2">
        <v>45792</v>
      </c>
      <c r="K1152" s="2">
        <v>45792</v>
      </c>
      <c r="L1152" t="s">
        <v>26</v>
      </c>
      <c r="M1152" t="s">
        <v>57</v>
      </c>
      <c r="O1152" t="s">
        <v>34</v>
      </c>
      <c r="P1152" t="s">
        <v>93</v>
      </c>
      <c r="Q1152">
        <f t="shared" si="68"/>
        <v>1</v>
      </c>
      <c r="R1152" s="3">
        <f t="shared" si="69"/>
        <v>5</v>
      </c>
      <c r="S1152">
        <f t="shared" si="70"/>
        <v>0</v>
      </c>
      <c r="T1152">
        <f t="shared" si="71"/>
        <v>0</v>
      </c>
    </row>
    <row r="1153" spans="1:20" x14ac:dyDescent="0.25">
      <c r="A1153" t="s">
        <v>1219</v>
      </c>
      <c r="B1153">
        <v>1152</v>
      </c>
      <c r="C1153" t="s">
        <v>36</v>
      </c>
      <c r="D1153" t="s">
        <v>64</v>
      </c>
      <c r="E1153" t="s">
        <v>23</v>
      </c>
      <c r="F1153" s="2">
        <v>46011</v>
      </c>
      <c r="G1153" s="2">
        <v>46011</v>
      </c>
      <c r="H1153" t="s">
        <v>45</v>
      </c>
      <c r="I1153" t="s">
        <v>25</v>
      </c>
      <c r="J1153" s="2">
        <v>46014</v>
      </c>
      <c r="K1153" s="2">
        <v>46014</v>
      </c>
      <c r="L1153" t="s">
        <v>26</v>
      </c>
      <c r="M1153" t="s">
        <v>27</v>
      </c>
      <c r="O1153" t="s">
        <v>34</v>
      </c>
      <c r="Q1153">
        <f t="shared" si="68"/>
        <v>1</v>
      </c>
      <c r="R1153" s="3">
        <f t="shared" si="69"/>
        <v>3</v>
      </c>
      <c r="S1153">
        <f t="shared" si="70"/>
        <v>0</v>
      </c>
      <c r="T1153">
        <f t="shared" si="71"/>
        <v>0</v>
      </c>
    </row>
    <row r="1154" spans="1:20" x14ac:dyDescent="0.25">
      <c r="A1154" t="s">
        <v>1220</v>
      </c>
      <c r="B1154">
        <v>1153</v>
      </c>
      <c r="C1154" t="s">
        <v>21</v>
      </c>
      <c r="D1154" t="s">
        <v>30</v>
      </c>
      <c r="E1154" t="s">
        <v>40</v>
      </c>
      <c r="F1154" s="2">
        <v>45877</v>
      </c>
      <c r="G1154" s="2">
        <v>45879</v>
      </c>
      <c r="H1154" t="s">
        <v>31</v>
      </c>
      <c r="I1154" t="s">
        <v>83</v>
      </c>
      <c r="J1154" s="2">
        <v>45885</v>
      </c>
      <c r="K1154" s="2">
        <v>45885</v>
      </c>
      <c r="L1154" t="s">
        <v>26</v>
      </c>
      <c r="M1154" t="s">
        <v>27</v>
      </c>
      <c r="O1154" t="s">
        <v>69</v>
      </c>
      <c r="Q1154">
        <f t="shared" si="68"/>
        <v>1</v>
      </c>
      <c r="R1154" s="3">
        <f t="shared" si="69"/>
        <v>8</v>
      </c>
      <c r="S1154">
        <f t="shared" si="70"/>
        <v>0</v>
      </c>
      <c r="T1154">
        <f t="shared" si="71"/>
        <v>0</v>
      </c>
    </row>
    <row r="1155" spans="1:20" x14ac:dyDescent="0.25">
      <c r="A1155" t="s">
        <v>1221</v>
      </c>
      <c r="B1155">
        <v>1154</v>
      </c>
      <c r="C1155" t="s">
        <v>51</v>
      </c>
      <c r="D1155" t="s">
        <v>39</v>
      </c>
      <c r="E1155" t="s">
        <v>56</v>
      </c>
      <c r="F1155" s="2">
        <v>45758</v>
      </c>
      <c r="G1155" s="2">
        <v>45758</v>
      </c>
      <c r="H1155" t="s">
        <v>24</v>
      </c>
      <c r="I1155" t="s">
        <v>73</v>
      </c>
      <c r="J1155" s="2">
        <v>45761</v>
      </c>
      <c r="K1155" s="2">
        <v>45763</v>
      </c>
      <c r="L1155" t="s">
        <v>26</v>
      </c>
      <c r="M1155" t="s">
        <v>32</v>
      </c>
      <c r="N1155" t="s">
        <v>47</v>
      </c>
      <c r="O1155" t="s">
        <v>43</v>
      </c>
      <c r="Q1155">
        <f t="shared" ref="Q1155:Q1201" si="72">IF(K1155&lt;=J1155,1,0)</f>
        <v>0</v>
      </c>
      <c r="R1155" s="3">
        <f t="shared" ref="R1155:R1201" si="73">(J1155-F1155)</f>
        <v>3</v>
      </c>
      <c r="S1155">
        <f t="shared" ref="S1155:S1201" si="74">IF(M1155="Delayed",1,0)</f>
        <v>1</v>
      </c>
      <c r="T1155">
        <f t="shared" ref="T1155:T1201" si="75">IF(L1155="n",1,0)</f>
        <v>0</v>
      </c>
    </row>
    <row r="1156" spans="1:20" x14ac:dyDescent="0.25">
      <c r="A1156" t="s">
        <v>1222</v>
      </c>
      <c r="B1156">
        <v>1155</v>
      </c>
      <c r="C1156" t="s">
        <v>36</v>
      </c>
      <c r="D1156" t="s">
        <v>52</v>
      </c>
      <c r="E1156" t="s">
        <v>56</v>
      </c>
      <c r="F1156" s="2">
        <v>45913</v>
      </c>
      <c r="G1156" s="2">
        <v>45913</v>
      </c>
      <c r="H1156" t="s">
        <v>41</v>
      </c>
      <c r="I1156" t="s">
        <v>25</v>
      </c>
      <c r="J1156" s="2">
        <v>45914</v>
      </c>
      <c r="K1156" s="2">
        <v>45914</v>
      </c>
      <c r="L1156" t="s">
        <v>26</v>
      </c>
      <c r="M1156" t="s">
        <v>27</v>
      </c>
      <c r="O1156" t="s">
        <v>28</v>
      </c>
      <c r="P1156" t="s">
        <v>71</v>
      </c>
      <c r="Q1156">
        <f t="shared" si="72"/>
        <v>1</v>
      </c>
      <c r="R1156" s="3">
        <f t="shared" si="73"/>
        <v>1</v>
      </c>
      <c r="S1156">
        <f t="shared" si="74"/>
        <v>0</v>
      </c>
      <c r="T1156">
        <f t="shared" si="75"/>
        <v>0</v>
      </c>
    </row>
    <row r="1157" spans="1:20" x14ac:dyDescent="0.25">
      <c r="A1157" t="s">
        <v>1223</v>
      </c>
      <c r="B1157">
        <v>1156</v>
      </c>
      <c r="C1157" t="s">
        <v>21</v>
      </c>
      <c r="D1157" t="s">
        <v>64</v>
      </c>
      <c r="E1157" t="s">
        <v>60</v>
      </c>
      <c r="F1157" s="2">
        <v>45902</v>
      </c>
      <c r="G1157" s="2">
        <v>45902</v>
      </c>
      <c r="H1157" t="s">
        <v>24</v>
      </c>
      <c r="I1157" t="s">
        <v>42</v>
      </c>
      <c r="J1157" s="2">
        <v>45905</v>
      </c>
      <c r="K1157" s="2">
        <v>45905</v>
      </c>
      <c r="L1157" t="s">
        <v>26</v>
      </c>
      <c r="M1157" t="s">
        <v>27</v>
      </c>
      <c r="O1157" t="s">
        <v>43</v>
      </c>
      <c r="Q1157">
        <f t="shared" si="72"/>
        <v>1</v>
      </c>
      <c r="R1157" s="3">
        <f t="shared" si="73"/>
        <v>3</v>
      </c>
      <c r="S1157">
        <f t="shared" si="74"/>
        <v>0</v>
      </c>
      <c r="T1157">
        <f t="shared" si="75"/>
        <v>0</v>
      </c>
    </row>
    <row r="1158" spans="1:20" x14ac:dyDescent="0.25">
      <c r="A1158" t="s">
        <v>1224</v>
      </c>
      <c r="B1158">
        <v>1157</v>
      </c>
      <c r="C1158" t="s">
        <v>51</v>
      </c>
      <c r="D1158" t="s">
        <v>39</v>
      </c>
      <c r="E1158" t="s">
        <v>56</v>
      </c>
      <c r="F1158" s="2">
        <v>45939</v>
      </c>
      <c r="G1158" s="2">
        <v>45939</v>
      </c>
      <c r="H1158" t="s">
        <v>45</v>
      </c>
      <c r="I1158" t="s">
        <v>85</v>
      </c>
      <c r="J1158" s="2">
        <v>45943</v>
      </c>
      <c r="K1158" s="2">
        <v>45943</v>
      </c>
      <c r="L1158" t="s">
        <v>26</v>
      </c>
      <c r="M1158" t="s">
        <v>57</v>
      </c>
      <c r="O1158" t="s">
        <v>69</v>
      </c>
      <c r="Q1158">
        <f t="shared" si="72"/>
        <v>1</v>
      </c>
      <c r="R1158" s="3">
        <f t="shared" si="73"/>
        <v>4</v>
      </c>
      <c r="S1158">
        <f t="shared" si="74"/>
        <v>0</v>
      </c>
      <c r="T1158">
        <f t="shared" si="75"/>
        <v>0</v>
      </c>
    </row>
    <row r="1159" spans="1:20" x14ac:dyDescent="0.25">
      <c r="A1159" t="s">
        <v>1225</v>
      </c>
      <c r="B1159">
        <v>1158</v>
      </c>
      <c r="C1159" t="s">
        <v>21</v>
      </c>
      <c r="D1159" t="s">
        <v>39</v>
      </c>
      <c r="E1159" t="s">
        <v>40</v>
      </c>
      <c r="F1159" s="2">
        <v>45996</v>
      </c>
      <c r="G1159" s="2">
        <v>45997</v>
      </c>
      <c r="H1159" t="s">
        <v>24</v>
      </c>
      <c r="I1159" t="s">
        <v>62</v>
      </c>
      <c r="J1159" s="2">
        <v>46002</v>
      </c>
      <c r="K1159" s="2">
        <v>46006</v>
      </c>
      <c r="L1159" t="s">
        <v>26</v>
      </c>
      <c r="M1159" t="s">
        <v>32</v>
      </c>
      <c r="N1159" t="s">
        <v>47</v>
      </c>
      <c r="O1159" t="s">
        <v>69</v>
      </c>
      <c r="Q1159">
        <f t="shared" si="72"/>
        <v>0</v>
      </c>
      <c r="R1159" s="3">
        <f t="shared" si="73"/>
        <v>6</v>
      </c>
      <c r="S1159">
        <f t="shared" si="74"/>
        <v>1</v>
      </c>
      <c r="T1159">
        <f t="shared" si="75"/>
        <v>0</v>
      </c>
    </row>
    <row r="1160" spans="1:20" x14ac:dyDescent="0.25">
      <c r="A1160" t="s">
        <v>1226</v>
      </c>
      <c r="B1160">
        <v>1159</v>
      </c>
      <c r="C1160" t="s">
        <v>21</v>
      </c>
      <c r="D1160" t="s">
        <v>22</v>
      </c>
      <c r="E1160" t="s">
        <v>56</v>
      </c>
      <c r="F1160" s="2">
        <v>46018</v>
      </c>
      <c r="G1160" s="2">
        <v>46020</v>
      </c>
      <c r="H1160" t="s">
        <v>41</v>
      </c>
      <c r="I1160" t="s">
        <v>54</v>
      </c>
      <c r="J1160" s="2">
        <v>46022</v>
      </c>
      <c r="K1160" s="2">
        <v>46022</v>
      </c>
      <c r="L1160" t="s">
        <v>46</v>
      </c>
      <c r="M1160" t="s">
        <v>27</v>
      </c>
      <c r="O1160" t="s">
        <v>81</v>
      </c>
      <c r="Q1160">
        <f t="shared" si="72"/>
        <v>1</v>
      </c>
      <c r="R1160" s="3">
        <f t="shared" si="73"/>
        <v>4</v>
      </c>
      <c r="S1160">
        <f t="shared" si="74"/>
        <v>0</v>
      </c>
      <c r="T1160">
        <f t="shared" si="75"/>
        <v>1</v>
      </c>
    </row>
    <row r="1161" spans="1:20" x14ac:dyDescent="0.25">
      <c r="A1161" t="s">
        <v>1227</v>
      </c>
      <c r="B1161">
        <v>1160</v>
      </c>
      <c r="C1161" t="s">
        <v>78</v>
      </c>
      <c r="D1161" t="s">
        <v>52</v>
      </c>
      <c r="E1161" t="s">
        <v>53</v>
      </c>
      <c r="F1161" s="2">
        <v>45820</v>
      </c>
      <c r="G1161" s="2">
        <v>45821</v>
      </c>
      <c r="H1161" t="s">
        <v>61</v>
      </c>
      <c r="I1161" t="s">
        <v>85</v>
      </c>
      <c r="J1161" s="2">
        <v>45825</v>
      </c>
      <c r="K1161" s="2">
        <v>45829</v>
      </c>
      <c r="L1161" t="s">
        <v>26</v>
      </c>
      <c r="M1161" t="s">
        <v>32</v>
      </c>
      <c r="N1161" t="s">
        <v>49</v>
      </c>
      <c r="O1161" t="s">
        <v>81</v>
      </c>
      <c r="Q1161">
        <f t="shared" si="72"/>
        <v>0</v>
      </c>
      <c r="R1161" s="3">
        <f t="shared" si="73"/>
        <v>5</v>
      </c>
      <c r="S1161">
        <f t="shared" si="74"/>
        <v>1</v>
      </c>
      <c r="T1161">
        <f t="shared" si="75"/>
        <v>0</v>
      </c>
    </row>
    <row r="1162" spans="1:20" x14ac:dyDescent="0.25">
      <c r="A1162" t="s">
        <v>1228</v>
      </c>
      <c r="B1162">
        <v>1161</v>
      </c>
      <c r="C1162" t="s">
        <v>21</v>
      </c>
      <c r="D1162" t="s">
        <v>30</v>
      </c>
      <c r="E1162" t="s">
        <v>23</v>
      </c>
      <c r="F1162" s="2">
        <v>45847</v>
      </c>
      <c r="G1162" s="2">
        <v>45847</v>
      </c>
      <c r="H1162" t="s">
        <v>31</v>
      </c>
      <c r="I1162" t="s">
        <v>73</v>
      </c>
      <c r="J1162" s="2">
        <v>45849</v>
      </c>
      <c r="K1162" s="2">
        <v>45849</v>
      </c>
      <c r="L1162" t="s">
        <v>26</v>
      </c>
      <c r="M1162" t="s">
        <v>57</v>
      </c>
      <c r="O1162" t="s">
        <v>37</v>
      </c>
      <c r="Q1162">
        <f t="shared" si="72"/>
        <v>1</v>
      </c>
      <c r="R1162" s="3">
        <f t="shared" si="73"/>
        <v>2</v>
      </c>
      <c r="S1162">
        <f t="shared" si="74"/>
        <v>0</v>
      </c>
      <c r="T1162">
        <f t="shared" si="75"/>
        <v>0</v>
      </c>
    </row>
    <row r="1163" spans="1:20" x14ac:dyDescent="0.25">
      <c r="A1163" t="s">
        <v>1229</v>
      </c>
      <c r="B1163">
        <v>1162</v>
      </c>
      <c r="C1163" t="s">
        <v>36</v>
      </c>
      <c r="D1163" t="s">
        <v>64</v>
      </c>
      <c r="E1163" t="s">
        <v>56</v>
      </c>
      <c r="F1163" s="2">
        <v>45658</v>
      </c>
      <c r="G1163" s="2">
        <v>45660</v>
      </c>
      <c r="H1163" t="s">
        <v>31</v>
      </c>
      <c r="I1163" t="s">
        <v>42</v>
      </c>
      <c r="J1163" s="2">
        <v>45661</v>
      </c>
      <c r="K1163" s="2">
        <v>45661</v>
      </c>
      <c r="L1163" t="s">
        <v>26</v>
      </c>
      <c r="M1163" t="s">
        <v>57</v>
      </c>
      <c r="O1163" t="s">
        <v>34</v>
      </c>
      <c r="Q1163">
        <f t="shared" si="72"/>
        <v>1</v>
      </c>
      <c r="R1163" s="3">
        <f t="shared" si="73"/>
        <v>3</v>
      </c>
      <c r="S1163">
        <f t="shared" si="74"/>
        <v>0</v>
      </c>
      <c r="T1163">
        <f t="shared" si="75"/>
        <v>0</v>
      </c>
    </row>
    <row r="1164" spans="1:20" x14ac:dyDescent="0.25">
      <c r="A1164" t="s">
        <v>1230</v>
      </c>
      <c r="B1164">
        <v>1163</v>
      </c>
      <c r="C1164" t="s">
        <v>21</v>
      </c>
      <c r="D1164" t="s">
        <v>64</v>
      </c>
      <c r="E1164" t="s">
        <v>53</v>
      </c>
      <c r="F1164" s="2">
        <v>45830</v>
      </c>
      <c r="G1164" s="2">
        <v>45831</v>
      </c>
      <c r="H1164" t="s">
        <v>24</v>
      </c>
      <c r="I1164" t="s">
        <v>85</v>
      </c>
      <c r="J1164" s="2">
        <v>45836</v>
      </c>
      <c r="K1164" s="2">
        <v>45837</v>
      </c>
      <c r="L1164" t="s">
        <v>26</v>
      </c>
      <c r="M1164" t="s">
        <v>32</v>
      </c>
      <c r="N1164" t="s">
        <v>67</v>
      </c>
      <c r="O1164" t="s">
        <v>34</v>
      </c>
      <c r="Q1164">
        <f t="shared" si="72"/>
        <v>0</v>
      </c>
      <c r="R1164" s="3">
        <f t="shared" si="73"/>
        <v>6</v>
      </c>
      <c r="S1164">
        <f t="shared" si="74"/>
        <v>1</v>
      </c>
      <c r="T1164">
        <f t="shared" si="75"/>
        <v>0</v>
      </c>
    </row>
    <row r="1165" spans="1:20" x14ac:dyDescent="0.25">
      <c r="A1165" t="s">
        <v>1231</v>
      </c>
      <c r="B1165">
        <v>1164</v>
      </c>
      <c r="C1165" t="s">
        <v>36</v>
      </c>
      <c r="D1165" t="s">
        <v>30</v>
      </c>
      <c r="E1165" t="s">
        <v>60</v>
      </c>
      <c r="F1165" s="2">
        <v>45721</v>
      </c>
      <c r="G1165" s="2">
        <v>45722</v>
      </c>
      <c r="H1165" t="s">
        <v>41</v>
      </c>
      <c r="I1165" t="s">
        <v>85</v>
      </c>
      <c r="J1165" s="2">
        <v>45726</v>
      </c>
      <c r="K1165" s="2">
        <v>45726</v>
      </c>
      <c r="L1165" t="s">
        <v>46</v>
      </c>
      <c r="M1165" t="s">
        <v>57</v>
      </c>
      <c r="O1165" t="s">
        <v>34</v>
      </c>
      <c r="Q1165">
        <f t="shared" si="72"/>
        <v>1</v>
      </c>
      <c r="R1165" s="3">
        <f t="shared" si="73"/>
        <v>5</v>
      </c>
      <c r="S1165">
        <f t="shared" si="74"/>
        <v>0</v>
      </c>
      <c r="T1165">
        <f t="shared" si="75"/>
        <v>1</v>
      </c>
    </row>
    <row r="1166" spans="1:20" x14ac:dyDescent="0.25">
      <c r="A1166" t="s">
        <v>1232</v>
      </c>
      <c r="B1166">
        <v>1165</v>
      </c>
      <c r="C1166" t="s">
        <v>51</v>
      </c>
      <c r="D1166" t="s">
        <v>64</v>
      </c>
      <c r="E1166" t="s">
        <v>60</v>
      </c>
      <c r="F1166" s="2">
        <v>45694</v>
      </c>
      <c r="G1166" s="2">
        <v>45696</v>
      </c>
      <c r="H1166" t="s">
        <v>41</v>
      </c>
      <c r="I1166" t="s">
        <v>42</v>
      </c>
      <c r="J1166" s="2">
        <v>45698</v>
      </c>
      <c r="K1166" s="2">
        <v>45698</v>
      </c>
      <c r="L1166" t="s">
        <v>26</v>
      </c>
      <c r="M1166" t="s">
        <v>27</v>
      </c>
      <c r="O1166" t="s">
        <v>81</v>
      </c>
      <c r="Q1166">
        <f t="shared" si="72"/>
        <v>1</v>
      </c>
      <c r="R1166" s="3">
        <f t="shared" si="73"/>
        <v>4</v>
      </c>
      <c r="S1166">
        <f t="shared" si="74"/>
        <v>0</v>
      </c>
      <c r="T1166">
        <f t="shared" si="75"/>
        <v>0</v>
      </c>
    </row>
    <row r="1167" spans="1:20" x14ac:dyDescent="0.25">
      <c r="A1167" t="s">
        <v>1233</v>
      </c>
      <c r="B1167">
        <v>1166</v>
      </c>
      <c r="C1167" t="s">
        <v>36</v>
      </c>
      <c r="D1167" t="s">
        <v>22</v>
      </c>
      <c r="E1167" t="s">
        <v>23</v>
      </c>
      <c r="F1167" s="2">
        <v>45966</v>
      </c>
      <c r="G1167" s="2">
        <v>45966</v>
      </c>
      <c r="H1167" t="s">
        <v>61</v>
      </c>
      <c r="I1167" t="s">
        <v>54</v>
      </c>
      <c r="J1167" s="2">
        <v>45967</v>
      </c>
      <c r="K1167" s="2">
        <v>45967</v>
      </c>
      <c r="L1167" t="s">
        <v>46</v>
      </c>
      <c r="M1167" t="s">
        <v>27</v>
      </c>
      <c r="O1167" t="s">
        <v>43</v>
      </c>
      <c r="Q1167">
        <f t="shared" si="72"/>
        <v>1</v>
      </c>
      <c r="R1167" s="3">
        <f t="shared" si="73"/>
        <v>1</v>
      </c>
      <c r="S1167">
        <f t="shared" si="74"/>
        <v>0</v>
      </c>
      <c r="T1167">
        <f t="shared" si="75"/>
        <v>1</v>
      </c>
    </row>
    <row r="1168" spans="1:20" x14ac:dyDescent="0.25">
      <c r="A1168" t="s">
        <v>1234</v>
      </c>
      <c r="B1168">
        <v>1167</v>
      </c>
      <c r="C1168" t="s">
        <v>59</v>
      </c>
      <c r="D1168" t="s">
        <v>52</v>
      </c>
      <c r="E1168" t="s">
        <v>53</v>
      </c>
      <c r="F1168" s="2">
        <v>45667</v>
      </c>
      <c r="G1168" s="2">
        <v>45669</v>
      </c>
      <c r="H1168" t="s">
        <v>31</v>
      </c>
      <c r="I1168" t="s">
        <v>25</v>
      </c>
      <c r="J1168" s="2">
        <v>45670</v>
      </c>
      <c r="K1168" s="2">
        <v>45670</v>
      </c>
      <c r="L1168" t="s">
        <v>26</v>
      </c>
      <c r="M1168" t="s">
        <v>57</v>
      </c>
      <c r="O1168" t="s">
        <v>69</v>
      </c>
      <c r="P1168" t="s">
        <v>71</v>
      </c>
      <c r="Q1168">
        <f t="shared" si="72"/>
        <v>1</v>
      </c>
      <c r="R1168" s="3">
        <f t="shared" si="73"/>
        <v>3</v>
      </c>
      <c r="S1168">
        <f t="shared" si="74"/>
        <v>0</v>
      </c>
      <c r="T1168">
        <f t="shared" si="75"/>
        <v>0</v>
      </c>
    </row>
    <row r="1169" spans="1:20" x14ac:dyDescent="0.25">
      <c r="A1169" t="s">
        <v>1235</v>
      </c>
      <c r="B1169">
        <v>1168</v>
      </c>
      <c r="C1169" t="s">
        <v>51</v>
      </c>
      <c r="D1169" t="s">
        <v>30</v>
      </c>
      <c r="E1169" t="s">
        <v>40</v>
      </c>
      <c r="F1169" s="2">
        <v>45736</v>
      </c>
      <c r="G1169" s="2">
        <v>45738</v>
      </c>
      <c r="H1169" t="s">
        <v>45</v>
      </c>
      <c r="I1169" t="s">
        <v>62</v>
      </c>
      <c r="J1169" s="2">
        <v>45740</v>
      </c>
      <c r="K1169" s="2">
        <v>45741</v>
      </c>
      <c r="L1169" t="s">
        <v>26</v>
      </c>
      <c r="M1169" t="s">
        <v>57</v>
      </c>
      <c r="O1169" t="s">
        <v>37</v>
      </c>
      <c r="Q1169">
        <f t="shared" si="72"/>
        <v>0</v>
      </c>
      <c r="R1169" s="3">
        <f t="shared" si="73"/>
        <v>4</v>
      </c>
      <c r="S1169">
        <f t="shared" si="74"/>
        <v>0</v>
      </c>
      <c r="T1169">
        <f t="shared" si="75"/>
        <v>0</v>
      </c>
    </row>
    <row r="1170" spans="1:20" x14ac:dyDescent="0.25">
      <c r="A1170" t="s">
        <v>1236</v>
      </c>
      <c r="B1170">
        <v>1169</v>
      </c>
      <c r="C1170" t="s">
        <v>59</v>
      </c>
      <c r="D1170" t="s">
        <v>64</v>
      </c>
      <c r="E1170" t="s">
        <v>56</v>
      </c>
      <c r="F1170" s="2">
        <v>45904</v>
      </c>
      <c r="G1170" s="2">
        <v>45905</v>
      </c>
      <c r="H1170" t="s">
        <v>31</v>
      </c>
      <c r="I1170" t="s">
        <v>25</v>
      </c>
      <c r="J1170" s="2">
        <v>45909</v>
      </c>
      <c r="K1170" s="2">
        <v>45909</v>
      </c>
      <c r="L1170" t="s">
        <v>26</v>
      </c>
      <c r="M1170" t="s">
        <v>27</v>
      </c>
      <c r="O1170" t="s">
        <v>69</v>
      </c>
      <c r="Q1170">
        <f t="shared" si="72"/>
        <v>1</v>
      </c>
      <c r="R1170" s="3">
        <f t="shared" si="73"/>
        <v>5</v>
      </c>
      <c r="S1170">
        <f t="shared" si="74"/>
        <v>0</v>
      </c>
      <c r="T1170">
        <f t="shared" si="75"/>
        <v>0</v>
      </c>
    </row>
    <row r="1171" spans="1:20" x14ac:dyDescent="0.25">
      <c r="A1171" t="s">
        <v>1237</v>
      </c>
      <c r="B1171">
        <v>1170</v>
      </c>
      <c r="C1171" t="s">
        <v>59</v>
      </c>
      <c r="D1171" t="s">
        <v>52</v>
      </c>
      <c r="E1171" t="s">
        <v>60</v>
      </c>
      <c r="F1171" s="2">
        <v>45873</v>
      </c>
      <c r="G1171" s="2">
        <v>45875</v>
      </c>
      <c r="H1171" t="s">
        <v>31</v>
      </c>
      <c r="I1171" t="s">
        <v>42</v>
      </c>
      <c r="J1171" s="2">
        <v>45881</v>
      </c>
      <c r="K1171" s="2">
        <v>45881</v>
      </c>
      <c r="L1171" t="s">
        <v>46</v>
      </c>
      <c r="M1171" t="s">
        <v>57</v>
      </c>
      <c r="O1171" t="s">
        <v>34</v>
      </c>
      <c r="Q1171">
        <f t="shared" si="72"/>
        <v>1</v>
      </c>
      <c r="R1171" s="3">
        <f t="shared" si="73"/>
        <v>8</v>
      </c>
      <c r="S1171">
        <f t="shared" si="74"/>
        <v>0</v>
      </c>
      <c r="T1171">
        <f t="shared" si="75"/>
        <v>1</v>
      </c>
    </row>
    <row r="1172" spans="1:20" x14ac:dyDescent="0.25">
      <c r="A1172" t="s">
        <v>1238</v>
      </c>
      <c r="B1172">
        <v>1171</v>
      </c>
      <c r="C1172" t="s">
        <v>36</v>
      </c>
      <c r="D1172" t="s">
        <v>52</v>
      </c>
      <c r="E1172" t="s">
        <v>60</v>
      </c>
      <c r="F1172" s="2">
        <v>45855</v>
      </c>
      <c r="G1172" s="2">
        <v>45855</v>
      </c>
      <c r="H1172" t="s">
        <v>31</v>
      </c>
      <c r="I1172" t="s">
        <v>42</v>
      </c>
      <c r="J1172" s="2">
        <v>45857</v>
      </c>
      <c r="K1172" s="2">
        <v>45857</v>
      </c>
      <c r="L1172" t="s">
        <v>26</v>
      </c>
      <c r="M1172" t="s">
        <v>57</v>
      </c>
      <c r="O1172" t="s">
        <v>37</v>
      </c>
      <c r="P1172" t="s">
        <v>93</v>
      </c>
      <c r="Q1172">
        <f t="shared" si="72"/>
        <v>1</v>
      </c>
      <c r="R1172" s="3">
        <f t="shared" si="73"/>
        <v>2</v>
      </c>
      <c r="S1172">
        <f t="shared" si="74"/>
        <v>0</v>
      </c>
      <c r="T1172">
        <f t="shared" si="75"/>
        <v>0</v>
      </c>
    </row>
    <row r="1173" spans="1:20" x14ac:dyDescent="0.25">
      <c r="A1173" t="s">
        <v>1239</v>
      </c>
      <c r="B1173">
        <v>1172</v>
      </c>
      <c r="C1173" t="s">
        <v>59</v>
      </c>
      <c r="D1173" t="s">
        <v>64</v>
      </c>
      <c r="E1173" t="s">
        <v>23</v>
      </c>
      <c r="F1173" s="2">
        <v>45978</v>
      </c>
      <c r="G1173" s="2">
        <v>45979</v>
      </c>
      <c r="H1173" t="s">
        <v>45</v>
      </c>
      <c r="I1173" t="s">
        <v>73</v>
      </c>
      <c r="J1173" s="2">
        <v>45980</v>
      </c>
      <c r="K1173" s="2">
        <v>45980</v>
      </c>
      <c r="L1173" t="s">
        <v>46</v>
      </c>
      <c r="M1173" t="s">
        <v>57</v>
      </c>
      <c r="O1173" t="s">
        <v>37</v>
      </c>
      <c r="Q1173">
        <f t="shared" si="72"/>
        <v>1</v>
      </c>
      <c r="R1173" s="3">
        <f t="shared" si="73"/>
        <v>2</v>
      </c>
      <c r="S1173">
        <f t="shared" si="74"/>
        <v>0</v>
      </c>
      <c r="T1173">
        <f t="shared" si="75"/>
        <v>1</v>
      </c>
    </row>
    <row r="1174" spans="1:20" x14ac:dyDescent="0.25">
      <c r="A1174" t="s">
        <v>1240</v>
      </c>
      <c r="B1174">
        <v>1173</v>
      </c>
      <c r="C1174" t="s">
        <v>59</v>
      </c>
      <c r="D1174" t="s">
        <v>64</v>
      </c>
      <c r="E1174" t="s">
        <v>60</v>
      </c>
      <c r="F1174" s="2">
        <v>45756</v>
      </c>
      <c r="G1174" s="2">
        <v>45756</v>
      </c>
      <c r="H1174" t="s">
        <v>31</v>
      </c>
      <c r="I1174" t="s">
        <v>85</v>
      </c>
      <c r="J1174" s="2">
        <v>45760</v>
      </c>
      <c r="K1174" s="2">
        <v>45761</v>
      </c>
      <c r="L1174" t="s">
        <v>46</v>
      </c>
      <c r="M1174" t="s">
        <v>32</v>
      </c>
      <c r="N1174" t="s">
        <v>47</v>
      </c>
      <c r="O1174" t="s">
        <v>28</v>
      </c>
      <c r="Q1174">
        <f t="shared" si="72"/>
        <v>0</v>
      </c>
      <c r="R1174" s="3">
        <f t="shared" si="73"/>
        <v>4</v>
      </c>
      <c r="S1174">
        <f t="shared" si="74"/>
        <v>1</v>
      </c>
      <c r="T1174">
        <f t="shared" si="75"/>
        <v>1</v>
      </c>
    </row>
    <row r="1175" spans="1:20" x14ac:dyDescent="0.25">
      <c r="A1175" t="s">
        <v>1241</v>
      </c>
      <c r="B1175">
        <v>1174</v>
      </c>
      <c r="C1175" t="s">
        <v>59</v>
      </c>
      <c r="D1175" t="s">
        <v>52</v>
      </c>
      <c r="E1175" t="s">
        <v>60</v>
      </c>
      <c r="F1175" s="2">
        <v>45774</v>
      </c>
      <c r="G1175" s="2">
        <v>45775</v>
      </c>
      <c r="H1175" t="s">
        <v>45</v>
      </c>
      <c r="I1175" t="s">
        <v>73</v>
      </c>
      <c r="J1175" s="2">
        <v>45776</v>
      </c>
      <c r="K1175" s="2">
        <v>45776</v>
      </c>
      <c r="L1175" t="s">
        <v>46</v>
      </c>
      <c r="M1175" t="s">
        <v>27</v>
      </c>
      <c r="O1175" t="s">
        <v>69</v>
      </c>
      <c r="Q1175">
        <f t="shared" si="72"/>
        <v>1</v>
      </c>
      <c r="R1175" s="3">
        <f t="shared" si="73"/>
        <v>2</v>
      </c>
      <c r="S1175">
        <f t="shared" si="74"/>
        <v>0</v>
      </c>
      <c r="T1175">
        <f t="shared" si="75"/>
        <v>1</v>
      </c>
    </row>
    <row r="1176" spans="1:20" x14ac:dyDescent="0.25">
      <c r="A1176" t="s">
        <v>1242</v>
      </c>
      <c r="B1176">
        <v>1175</v>
      </c>
      <c r="C1176" t="s">
        <v>36</v>
      </c>
      <c r="D1176" t="s">
        <v>30</v>
      </c>
      <c r="E1176" t="s">
        <v>60</v>
      </c>
      <c r="F1176" s="2">
        <v>45889</v>
      </c>
      <c r="G1176" s="2">
        <v>45890</v>
      </c>
      <c r="H1176" t="s">
        <v>41</v>
      </c>
      <c r="I1176" t="s">
        <v>54</v>
      </c>
      <c r="J1176" s="2">
        <v>45894</v>
      </c>
      <c r="K1176" s="2">
        <v>45894</v>
      </c>
      <c r="L1176" t="s">
        <v>26</v>
      </c>
      <c r="M1176" t="s">
        <v>27</v>
      </c>
      <c r="O1176" t="s">
        <v>43</v>
      </c>
      <c r="P1176" t="s">
        <v>93</v>
      </c>
      <c r="Q1176">
        <f t="shared" si="72"/>
        <v>1</v>
      </c>
      <c r="R1176" s="3">
        <f t="shared" si="73"/>
        <v>5</v>
      </c>
      <c r="S1176">
        <f t="shared" si="74"/>
        <v>0</v>
      </c>
      <c r="T1176">
        <f t="shared" si="75"/>
        <v>0</v>
      </c>
    </row>
    <row r="1177" spans="1:20" x14ac:dyDescent="0.25">
      <c r="A1177" t="s">
        <v>1243</v>
      </c>
      <c r="B1177">
        <v>1176</v>
      </c>
      <c r="C1177" t="s">
        <v>36</v>
      </c>
      <c r="D1177" t="s">
        <v>22</v>
      </c>
      <c r="E1177" t="s">
        <v>56</v>
      </c>
      <c r="F1177" s="2">
        <v>45697</v>
      </c>
      <c r="G1177" s="2">
        <v>45699</v>
      </c>
      <c r="H1177" t="s">
        <v>61</v>
      </c>
      <c r="I1177" t="s">
        <v>25</v>
      </c>
      <c r="J1177" s="2">
        <v>45704</v>
      </c>
      <c r="K1177" s="2">
        <v>45704</v>
      </c>
      <c r="L1177" t="s">
        <v>26</v>
      </c>
      <c r="M1177" t="s">
        <v>27</v>
      </c>
      <c r="O1177" t="s">
        <v>69</v>
      </c>
      <c r="Q1177">
        <f t="shared" si="72"/>
        <v>1</v>
      </c>
      <c r="R1177" s="3">
        <f t="shared" si="73"/>
        <v>7</v>
      </c>
      <c r="S1177">
        <f t="shared" si="74"/>
        <v>0</v>
      </c>
      <c r="T1177">
        <f t="shared" si="75"/>
        <v>0</v>
      </c>
    </row>
    <row r="1178" spans="1:20" x14ac:dyDescent="0.25">
      <c r="A1178" t="s">
        <v>1244</v>
      </c>
      <c r="B1178">
        <v>1177</v>
      </c>
      <c r="C1178" t="s">
        <v>21</v>
      </c>
      <c r="D1178" t="s">
        <v>64</v>
      </c>
      <c r="E1178" t="s">
        <v>23</v>
      </c>
      <c r="F1178" s="2">
        <v>45935</v>
      </c>
      <c r="G1178" s="2">
        <v>45937</v>
      </c>
      <c r="H1178" t="s">
        <v>31</v>
      </c>
      <c r="I1178" t="s">
        <v>85</v>
      </c>
      <c r="J1178" s="2">
        <v>45940</v>
      </c>
      <c r="K1178" s="2">
        <v>45940</v>
      </c>
      <c r="L1178" t="s">
        <v>46</v>
      </c>
      <c r="M1178" t="s">
        <v>27</v>
      </c>
      <c r="O1178" t="s">
        <v>81</v>
      </c>
      <c r="P1178" t="s">
        <v>71</v>
      </c>
      <c r="Q1178">
        <f t="shared" si="72"/>
        <v>1</v>
      </c>
      <c r="R1178" s="3">
        <f t="shared" si="73"/>
        <v>5</v>
      </c>
      <c r="S1178">
        <f t="shared" si="74"/>
        <v>0</v>
      </c>
      <c r="T1178">
        <f t="shared" si="75"/>
        <v>1</v>
      </c>
    </row>
    <row r="1179" spans="1:20" x14ac:dyDescent="0.25">
      <c r="A1179" t="s">
        <v>1245</v>
      </c>
      <c r="B1179">
        <v>1178</v>
      </c>
      <c r="C1179" t="s">
        <v>36</v>
      </c>
      <c r="D1179" t="s">
        <v>52</v>
      </c>
      <c r="E1179" t="s">
        <v>23</v>
      </c>
      <c r="F1179" s="2">
        <v>45998</v>
      </c>
      <c r="G1179" s="2">
        <v>46000</v>
      </c>
      <c r="H1179" t="s">
        <v>61</v>
      </c>
      <c r="I1179" t="s">
        <v>42</v>
      </c>
      <c r="J1179" s="2">
        <v>46003</v>
      </c>
      <c r="K1179" s="2">
        <v>46007</v>
      </c>
      <c r="L1179" t="s">
        <v>46</v>
      </c>
      <c r="M1179" t="s">
        <v>32</v>
      </c>
      <c r="N1179" t="s">
        <v>264</v>
      </c>
      <c r="O1179" t="s">
        <v>43</v>
      </c>
      <c r="P1179" t="s">
        <v>71</v>
      </c>
      <c r="Q1179">
        <f t="shared" si="72"/>
        <v>0</v>
      </c>
      <c r="R1179" s="3">
        <f t="shared" si="73"/>
        <v>5</v>
      </c>
      <c r="S1179">
        <f t="shared" si="74"/>
        <v>1</v>
      </c>
      <c r="T1179">
        <f t="shared" si="75"/>
        <v>1</v>
      </c>
    </row>
    <row r="1180" spans="1:20" x14ac:dyDescent="0.25">
      <c r="A1180" t="s">
        <v>1246</v>
      </c>
      <c r="B1180">
        <v>1179</v>
      </c>
      <c r="C1180" t="s">
        <v>21</v>
      </c>
      <c r="D1180" t="s">
        <v>64</v>
      </c>
      <c r="E1180" t="s">
        <v>23</v>
      </c>
      <c r="F1180" s="2">
        <v>45965</v>
      </c>
      <c r="G1180" s="2">
        <v>45966</v>
      </c>
      <c r="H1180" t="s">
        <v>24</v>
      </c>
      <c r="I1180" t="s">
        <v>42</v>
      </c>
      <c r="J1180" s="2">
        <v>45968</v>
      </c>
      <c r="K1180" s="2">
        <v>45971</v>
      </c>
      <c r="L1180" t="s">
        <v>26</v>
      </c>
      <c r="M1180" t="s">
        <v>32</v>
      </c>
      <c r="N1180" t="s">
        <v>47</v>
      </c>
      <c r="O1180" t="s">
        <v>43</v>
      </c>
      <c r="Q1180">
        <f t="shared" si="72"/>
        <v>0</v>
      </c>
      <c r="R1180" s="3">
        <f t="shared" si="73"/>
        <v>3</v>
      </c>
      <c r="S1180">
        <f t="shared" si="74"/>
        <v>1</v>
      </c>
      <c r="T1180">
        <f t="shared" si="75"/>
        <v>0</v>
      </c>
    </row>
    <row r="1181" spans="1:20" x14ac:dyDescent="0.25">
      <c r="A1181" t="s">
        <v>1247</v>
      </c>
      <c r="B1181">
        <v>1180</v>
      </c>
      <c r="C1181" t="s">
        <v>78</v>
      </c>
      <c r="D1181" t="s">
        <v>30</v>
      </c>
      <c r="E1181" t="s">
        <v>23</v>
      </c>
      <c r="F1181" s="2">
        <v>46017</v>
      </c>
      <c r="G1181" s="2">
        <v>46018</v>
      </c>
      <c r="H1181" t="s">
        <v>31</v>
      </c>
      <c r="I1181" t="s">
        <v>73</v>
      </c>
      <c r="J1181" s="2">
        <v>46019</v>
      </c>
      <c r="K1181" s="2">
        <v>46020</v>
      </c>
      <c r="L1181" t="s">
        <v>26</v>
      </c>
      <c r="M1181" t="s">
        <v>57</v>
      </c>
      <c r="O1181" t="s">
        <v>69</v>
      </c>
      <c r="Q1181">
        <f t="shared" si="72"/>
        <v>0</v>
      </c>
      <c r="R1181" s="3">
        <f t="shared" si="73"/>
        <v>2</v>
      </c>
      <c r="S1181">
        <f t="shared" si="74"/>
        <v>0</v>
      </c>
      <c r="T1181">
        <f t="shared" si="75"/>
        <v>0</v>
      </c>
    </row>
    <row r="1182" spans="1:20" x14ac:dyDescent="0.25">
      <c r="A1182" t="s">
        <v>1248</v>
      </c>
      <c r="B1182">
        <v>1181</v>
      </c>
      <c r="C1182" t="s">
        <v>51</v>
      </c>
      <c r="D1182" t="s">
        <v>30</v>
      </c>
      <c r="E1182" t="s">
        <v>40</v>
      </c>
      <c r="F1182" s="2">
        <v>45671</v>
      </c>
      <c r="G1182" s="2">
        <v>45673</v>
      </c>
      <c r="H1182" t="s">
        <v>31</v>
      </c>
      <c r="I1182" t="s">
        <v>83</v>
      </c>
      <c r="J1182" s="2">
        <v>45678</v>
      </c>
      <c r="K1182" s="2">
        <v>45678</v>
      </c>
      <c r="L1182" t="s">
        <v>26</v>
      </c>
      <c r="M1182" t="s">
        <v>27</v>
      </c>
      <c r="O1182" t="s">
        <v>69</v>
      </c>
      <c r="Q1182">
        <f t="shared" si="72"/>
        <v>1</v>
      </c>
      <c r="R1182" s="3">
        <f t="shared" si="73"/>
        <v>7</v>
      </c>
      <c r="S1182">
        <f t="shared" si="74"/>
        <v>0</v>
      </c>
      <c r="T1182">
        <f t="shared" si="75"/>
        <v>0</v>
      </c>
    </row>
    <row r="1183" spans="1:20" x14ac:dyDescent="0.25">
      <c r="A1183" t="s">
        <v>1249</v>
      </c>
      <c r="B1183">
        <v>1182</v>
      </c>
      <c r="C1183" t="s">
        <v>59</v>
      </c>
      <c r="D1183" t="s">
        <v>22</v>
      </c>
      <c r="E1183" t="s">
        <v>56</v>
      </c>
      <c r="F1183" s="2">
        <v>45854</v>
      </c>
      <c r="G1183" s="2">
        <v>45855</v>
      </c>
      <c r="H1183" t="s">
        <v>61</v>
      </c>
      <c r="I1183" t="s">
        <v>54</v>
      </c>
      <c r="J1183" s="2">
        <v>45857</v>
      </c>
      <c r="K1183" s="2">
        <v>45857</v>
      </c>
      <c r="L1183" t="s">
        <v>26</v>
      </c>
      <c r="M1183" t="s">
        <v>57</v>
      </c>
      <c r="O1183" t="s">
        <v>43</v>
      </c>
      <c r="Q1183">
        <f t="shared" si="72"/>
        <v>1</v>
      </c>
      <c r="R1183" s="3">
        <f t="shared" si="73"/>
        <v>3</v>
      </c>
      <c r="S1183">
        <f t="shared" si="74"/>
        <v>0</v>
      </c>
      <c r="T1183">
        <f t="shared" si="75"/>
        <v>0</v>
      </c>
    </row>
    <row r="1184" spans="1:20" x14ac:dyDescent="0.25">
      <c r="A1184" t="s">
        <v>1250</v>
      </c>
      <c r="B1184">
        <v>1183</v>
      </c>
      <c r="C1184" t="s">
        <v>78</v>
      </c>
      <c r="D1184" t="s">
        <v>64</v>
      </c>
      <c r="E1184" t="s">
        <v>23</v>
      </c>
      <c r="F1184" s="2">
        <v>45997</v>
      </c>
      <c r="G1184" s="2">
        <v>45997</v>
      </c>
      <c r="H1184" t="s">
        <v>61</v>
      </c>
      <c r="I1184" t="s">
        <v>62</v>
      </c>
      <c r="J1184" s="2">
        <v>46001</v>
      </c>
      <c r="K1184" s="2">
        <v>46001</v>
      </c>
      <c r="L1184" t="s">
        <v>26</v>
      </c>
      <c r="M1184" t="s">
        <v>57</v>
      </c>
      <c r="O1184" t="s">
        <v>43</v>
      </c>
      <c r="Q1184">
        <f t="shared" si="72"/>
        <v>1</v>
      </c>
      <c r="R1184" s="3">
        <f t="shared" si="73"/>
        <v>4</v>
      </c>
      <c r="S1184">
        <f t="shared" si="74"/>
        <v>0</v>
      </c>
      <c r="T1184">
        <f t="shared" si="75"/>
        <v>0</v>
      </c>
    </row>
    <row r="1185" spans="1:20" x14ac:dyDescent="0.25">
      <c r="A1185" t="s">
        <v>1251</v>
      </c>
      <c r="B1185">
        <v>1184</v>
      </c>
      <c r="C1185" t="s">
        <v>21</v>
      </c>
      <c r="D1185" t="s">
        <v>64</v>
      </c>
      <c r="E1185" t="s">
        <v>23</v>
      </c>
      <c r="F1185" s="2">
        <v>45983</v>
      </c>
      <c r="G1185" s="2">
        <v>45985</v>
      </c>
      <c r="H1185" t="s">
        <v>31</v>
      </c>
      <c r="I1185" t="s">
        <v>54</v>
      </c>
      <c r="J1185" s="2">
        <v>45986</v>
      </c>
      <c r="K1185" s="2">
        <v>45987</v>
      </c>
      <c r="L1185" t="s">
        <v>26</v>
      </c>
      <c r="M1185" t="s">
        <v>32</v>
      </c>
      <c r="N1185" t="s">
        <v>47</v>
      </c>
      <c r="O1185" t="s">
        <v>43</v>
      </c>
      <c r="P1185" t="s">
        <v>76</v>
      </c>
      <c r="Q1185">
        <f t="shared" si="72"/>
        <v>0</v>
      </c>
      <c r="R1185" s="3">
        <f t="shared" si="73"/>
        <v>3</v>
      </c>
      <c r="S1185">
        <f t="shared" si="74"/>
        <v>1</v>
      </c>
      <c r="T1185">
        <f t="shared" si="75"/>
        <v>0</v>
      </c>
    </row>
    <row r="1186" spans="1:20" x14ac:dyDescent="0.25">
      <c r="A1186" t="s">
        <v>1252</v>
      </c>
      <c r="B1186">
        <v>1185</v>
      </c>
      <c r="C1186" t="s">
        <v>36</v>
      </c>
      <c r="D1186" t="s">
        <v>52</v>
      </c>
      <c r="E1186" t="s">
        <v>53</v>
      </c>
      <c r="F1186" s="2">
        <v>45905</v>
      </c>
      <c r="G1186" s="2">
        <v>45905</v>
      </c>
      <c r="H1186" t="s">
        <v>31</v>
      </c>
      <c r="I1186" t="s">
        <v>54</v>
      </c>
      <c r="J1186" s="2">
        <v>45907</v>
      </c>
      <c r="K1186" s="2">
        <v>45907</v>
      </c>
      <c r="L1186" t="s">
        <v>46</v>
      </c>
      <c r="M1186" t="s">
        <v>27</v>
      </c>
      <c r="O1186" t="s">
        <v>43</v>
      </c>
      <c r="Q1186">
        <f t="shared" si="72"/>
        <v>1</v>
      </c>
      <c r="R1186" s="3">
        <f t="shared" si="73"/>
        <v>2</v>
      </c>
      <c r="S1186">
        <f t="shared" si="74"/>
        <v>0</v>
      </c>
      <c r="T1186">
        <f t="shared" si="75"/>
        <v>1</v>
      </c>
    </row>
    <row r="1187" spans="1:20" x14ac:dyDescent="0.25">
      <c r="A1187" t="s">
        <v>1253</v>
      </c>
      <c r="B1187">
        <v>1186</v>
      </c>
      <c r="C1187" t="s">
        <v>21</v>
      </c>
      <c r="D1187" t="s">
        <v>39</v>
      </c>
      <c r="E1187" t="s">
        <v>23</v>
      </c>
      <c r="F1187" s="2">
        <v>45911</v>
      </c>
      <c r="G1187" s="2">
        <v>45913</v>
      </c>
      <c r="H1187" t="s">
        <v>31</v>
      </c>
      <c r="I1187" t="s">
        <v>54</v>
      </c>
      <c r="J1187" s="2">
        <v>45917</v>
      </c>
      <c r="K1187" s="2">
        <v>45917</v>
      </c>
      <c r="L1187" t="s">
        <v>46</v>
      </c>
      <c r="M1187" t="s">
        <v>27</v>
      </c>
      <c r="O1187" t="s">
        <v>43</v>
      </c>
      <c r="Q1187">
        <f t="shared" si="72"/>
        <v>1</v>
      </c>
      <c r="R1187" s="3">
        <f t="shared" si="73"/>
        <v>6</v>
      </c>
      <c r="S1187">
        <f t="shared" si="74"/>
        <v>0</v>
      </c>
      <c r="T1187">
        <f t="shared" si="75"/>
        <v>1</v>
      </c>
    </row>
    <row r="1188" spans="1:20" x14ac:dyDescent="0.25">
      <c r="A1188" t="s">
        <v>1254</v>
      </c>
      <c r="B1188">
        <v>1187</v>
      </c>
      <c r="C1188" t="s">
        <v>51</v>
      </c>
      <c r="D1188" t="s">
        <v>39</v>
      </c>
      <c r="E1188" t="s">
        <v>23</v>
      </c>
      <c r="F1188" s="2">
        <v>45764</v>
      </c>
      <c r="G1188" s="2">
        <v>45765</v>
      </c>
      <c r="H1188" t="s">
        <v>31</v>
      </c>
      <c r="I1188" t="s">
        <v>54</v>
      </c>
      <c r="J1188" s="2">
        <v>45767</v>
      </c>
      <c r="K1188" s="2">
        <v>45767</v>
      </c>
      <c r="L1188" t="s">
        <v>26</v>
      </c>
      <c r="M1188" t="s">
        <v>27</v>
      </c>
      <c r="O1188" t="s">
        <v>37</v>
      </c>
      <c r="Q1188">
        <f t="shared" si="72"/>
        <v>1</v>
      </c>
      <c r="R1188" s="3">
        <f t="shared" si="73"/>
        <v>3</v>
      </c>
      <c r="S1188">
        <f t="shared" si="74"/>
        <v>0</v>
      </c>
      <c r="T1188">
        <f t="shared" si="75"/>
        <v>0</v>
      </c>
    </row>
    <row r="1189" spans="1:20" x14ac:dyDescent="0.25">
      <c r="A1189" t="s">
        <v>1255</v>
      </c>
      <c r="B1189">
        <v>1188</v>
      </c>
      <c r="C1189" t="s">
        <v>78</v>
      </c>
      <c r="D1189" t="s">
        <v>22</v>
      </c>
      <c r="E1189" t="s">
        <v>23</v>
      </c>
      <c r="F1189" s="2">
        <v>45767</v>
      </c>
      <c r="G1189" s="2">
        <v>45768</v>
      </c>
      <c r="H1189" t="s">
        <v>24</v>
      </c>
      <c r="I1189" t="s">
        <v>25</v>
      </c>
      <c r="J1189" s="2">
        <v>45772</v>
      </c>
      <c r="K1189" s="2">
        <v>45772</v>
      </c>
      <c r="L1189" t="s">
        <v>26</v>
      </c>
      <c r="M1189" t="s">
        <v>57</v>
      </c>
      <c r="O1189" t="s">
        <v>28</v>
      </c>
      <c r="P1189" t="s">
        <v>93</v>
      </c>
      <c r="Q1189">
        <f t="shared" si="72"/>
        <v>1</v>
      </c>
      <c r="R1189" s="3">
        <f t="shared" si="73"/>
        <v>5</v>
      </c>
      <c r="S1189">
        <f t="shared" si="74"/>
        <v>0</v>
      </c>
      <c r="T1189">
        <f t="shared" si="75"/>
        <v>0</v>
      </c>
    </row>
    <row r="1190" spans="1:20" x14ac:dyDescent="0.25">
      <c r="A1190" t="s">
        <v>1256</v>
      </c>
      <c r="B1190">
        <v>1189</v>
      </c>
      <c r="C1190" t="s">
        <v>51</v>
      </c>
      <c r="D1190" t="s">
        <v>39</v>
      </c>
      <c r="E1190" t="s">
        <v>40</v>
      </c>
      <c r="F1190" s="2">
        <v>45676</v>
      </c>
      <c r="G1190" s="2">
        <v>45678</v>
      </c>
      <c r="H1190" t="s">
        <v>31</v>
      </c>
      <c r="I1190" t="s">
        <v>85</v>
      </c>
      <c r="J1190" s="2">
        <v>45683</v>
      </c>
      <c r="K1190" s="2">
        <v>45683</v>
      </c>
      <c r="L1190" t="s">
        <v>26</v>
      </c>
      <c r="M1190" t="s">
        <v>27</v>
      </c>
      <c r="O1190" t="s">
        <v>43</v>
      </c>
      <c r="Q1190">
        <f t="shared" si="72"/>
        <v>1</v>
      </c>
      <c r="R1190" s="3">
        <f t="shared" si="73"/>
        <v>7</v>
      </c>
      <c r="S1190">
        <f t="shared" si="74"/>
        <v>0</v>
      </c>
      <c r="T1190">
        <f t="shared" si="75"/>
        <v>0</v>
      </c>
    </row>
    <row r="1191" spans="1:20" x14ac:dyDescent="0.25">
      <c r="A1191" t="s">
        <v>1257</v>
      </c>
      <c r="B1191">
        <v>1190</v>
      </c>
      <c r="C1191" t="s">
        <v>36</v>
      </c>
      <c r="D1191" t="s">
        <v>22</v>
      </c>
      <c r="E1191" t="s">
        <v>56</v>
      </c>
      <c r="F1191" s="2">
        <v>45992</v>
      </c>
      <c r="G1191" s="2">
        <v>45993</v>
      </c>
      <c r="H1191" t="s">
        <v>24</v>
      </c>
      <c r="I1191" t="s">
        <v>25</v>
      </c>
      <c r="J1191" s="2">
        <v>45998</v>
      </c>
      <c r="K1191" s="2">
        <v>45998</v>
      </c>
      <c r="L1191" t="s">
        <v>26</v>
      </c>
      <c r="M1191" t="s">
        <v>57</v>
      </c>
      <c r="O1191" t="s">
        <v>34</v>
      </c>
      <c r="P1191" t="s">
        <v>71</v>
      </c>
      <c r="Q1191">
        <f t="shared" si="72"/>
        <v>1</v>
      </c>
      <c r="R1191" s="3">
        <f t="shared" si="73"/>
        <v>6</v>
      </c>
      <c r="S1191">
        <f t="shared" si="74"/>
        <v>0</v>
      </c>
      <c r="T1191">
        <f t="shared" si="75"/>
        <v>0</v>
      </c>
    </row>
    <row r="1192" spans="1:20" x14ac:dyDescent="0.25">
      <c r="A1192" t="s">
        <v>1258</v>
      </c>
      <c r="B1192">
        <v>1191</v>
      </c>
      <c r="C1192" t="s">
        <v>59</v>
      </c>
      <c r="D1192" t="s">
        <v>39</v>
      </c>
      <c r="E1192" t="s">
        <v>40</v>
      </c>
      <c r="F1192" s="2">
        <v>45804</v>
      </c>
      <c r="G1192" s="2">
        <v>45804</v>
      </c>
      <c r="H1192" t="s">
        <v>24</v>
      </c>
      <c r="I1192" t="s">
        <v>73</v>
      </c>
      <c r="J1192" s="2">
        <v>45806</v>
      </c>
      <c r="K1192" s="2">
        <v>45806</v>
      </c>
      <c r="L1192" t="s">
        <v>26</v>
      </c>
      <c r="M1192" t="s">
        <v>27</v>
      </c>
      <c r="O1192" t="s">
        <v>28</v>
      </c>
      <c r="Q1192">
        <f t="shared" si="72"/>
        <v>1</v>
      </c>
      <c r="R1192" s="3">
        <f t="shared" si="73"/>
        <v>2</v>
      </c>
      <c r="S1192">
        <f t="shared" si="74"/>
        <v>0</v>
      </c>
      <c r="T1192">
        <f t="shared" si="75"/>
        <v>0</v>
      </c>
    </row>
    <row r="1193" spans="1:20" x14ac:dyDescent="0.25">
      <c r="A1193" t="s">
        <v>1259</v>
      </c>
      <c r="B1193">
        <v>1192</v>
      </c>
      <c r="C1193" t="s">
        <v>51</v>
      </c>
      <c r="D1193" t="s">
        <v>22</v>
      </c>
      <c r="E1193" t="s">
        <v>53</v>
      </c>
      <c r="F1193" s="2">
        <v>46006</v>
      </c>
      <c r="G1193" s="2">
        <v>46008</v>
      </c>
      <c r="H1193" t="s">
        <v>31</v>
      </c>
      <c r="I1193" t="s">
        <v>85</v>
      </c>
      <c r="J1193" s="2">
        <v>46010</v>
      </c>
      <c r="K1193" s="2">
        <v>46010</v>
      </c>
      <c r="L1193" t="s">
        <v>46</v>
      </c>
      <c r="M1193" t="s">
        <v>27</v>
      </c>
      <c r="O1193" t="s">
        <v>43</v>
      </c>
      <c r="Q1193">
        <f t="shared" si="72"/>
        <v>1</v>
      </c>
      <c r="R1193" s="3">
        <f t="shared" si="73"/>
        <v>4</v>
      </c>
      <c r="S1193">
        <f t="shared" si="74"/>
        <v>0</v>
      </c>
      <c r="T1193">
        <f t="shared" si="75"/>
        <v>1</v>
      </c>
    </row>
    <row r="1194" spans="1:20" x14ac:dyDescent="0.25">
      <c r="A1194" t="s">
        <v>1260</v>
      </c>
      <c r="B1194">
        <v>1193</v>
      </c>
      <c r="C1194" t="s">
        <v>59</v>
      </c>
      <c r="D1194" t="s">
        <v>30</v>
      </c>
      <c r="E1194" t="s">
        <v>40</v>
      </c>
      <c r="F1194" s="2">
        <v>45671</v>
      </c>
      <c r="G1194" s="2">
        <v>45671</v>
      </c>
      <c r="H1194" t="s">
        <v>24</v>
      </c>
      <c r="I1194" t="s">
        <v>25</v>
      </c>
      <c r="J1194" s="2">
        <v>45677</v>
      </c>
      <c r="K1194" s="2">
        <v>45677</v>
      </c>
      <c r="L1194" t="s">
        <v>26</v>
      </c>
      <c r="M1194" t="s">
        <v>27</v>
      </c>
      <c r="O1194" t="s">
        <v>34</v>
      </c>
      <c r="Q1194">
        <f t="shared" si="72"/>
        <v>1</v>
      </c>
      <c r="R1194" s="3">
        <f t="shared" si="73"/>
        <v>6</v>
      </c>
      <c r="S1194">
        <f t="shared" si="74"/>
        <v>0</v>
      </c>
      <c r="T1194">
        <f t="shared" si="75"/>
        <v>0</v>
      </c>
    </row>
    <row r="1195" spans="1:20" x14ac:dyDescent="0.25">
      <c r="A1195" t="s">
        <v>1261</v>
      </c>
      <c r="B1195">
        <v>1194</v>
      </c>
      <c r="C1195" t="s">
        <v>51</v>
      </c>
      <c r="D1195" t="s">
        <v>39</v>
      </c>
      <c r="E1195" t="s">
        <v>23</v>
      </c>
      <c r="F1195" s="2">
        <v>45982</v>
      </c>
      <c r="G1195" s="2">
        <v>45984</v>
      </c>
      <c r="H1195" t="s">
        <v>45</v>
      </c>
      <c r="I1195" t="s">
        <v>25</v>
      </c>
      <c r="J1195" s="2">
        <v>45987</v>
      </c>
      <c r="K1195" s="2">
        <v>45987</v>
      </c>
      <c r="L1195" t="s">
        <v>26</v>
      </c>
      <c r="M1195" t="s">
        <v>57</v>
      </c>
      <c r="O1195" t="s">
        <v>81</v>
      </c>
      <c r="P1195" t="s">
        <v>76</v>
      </c>
      <c r="Q1195">
        <f t="shared" si="72"/>
        <v>1</v>
      </c>
      <c r="R1195" s="3">
        <f t="shared" si="73"/>
        <v>5</v>
      </c>
      <c r="S1195">
        <f t="shared" si="74"/>
        <v>0</v>
      </c>
      <c r="T1195">
        <f t="shared" si="75"/>
        <v>0</v>
      </c>
    </row>
    <row r="1196" spans="1:20" x14ac:dyDescent="0.25">
      <c r="A1196" t="s">
        <v>1262</v>
      </c>
      <c r="B1196">
        <v>1195</v>
      </c>
      <c r="C1196" t="s">
        <v>59</v>
      </c>
      <c r="D1196" t="s">
        <v>22</v>
      </c>
      <c r="E1196" t="s">
        <v>40</v>
      </c>
      <c r="F1196" s="2">
        <v>45880</v>
      </c>
      <c r="G1196" s="2">
        <v>45882</v>
      </c>
      <c r="H1196" t="s">
        <v>61</v>
      </c>
      <c r="I1196" t="s">
        <v>85</v>
      </c>
      <c r="J1196" s="2">
        <v>45885</v>
      </c>
      <c r="K1196" s="2">
        <v>45885</v>
      </c>
      <c r="L1196" t="s">
        <v>26</v>
      </c>
      <c r="M1196" t="s">
        <v>57</v>
      </c>
      <c r="O1196" t="s">
        <v>81</v>
      </c>
      <c r="Q1196">
        <f t="shared" si="72"/>
        <v>1</v>
      </c>
      <c r="R1196" s="3">
        <f t="shared" si="73"/>
        <v>5</v>
      </c>
      <c r="S1196">
        <f t="shared" si="74"/>
        <v>0</v>
      </c>
      <c r="T1196">
        <f t="shared" si="75"/>
        <v>0</v>
      </c>
    </row>
    <row r="1197" spans="1:20" x14ac:dyDescent="0.25">
      <c r="A1197" t="s">
        <v>1263</v>
      </c>
      <c r="B1197">
        <v>1196</v>
      </c>
      <c r="C1197" t="s">
        <v>36</v>
      </c>
      <c r="D1197" t="s">
        <v>22</v>
      </c>
      <c r="E1197" t="s">
        <v>56</v>
      </c>
      <c r="F1197" s="2">
        <v>45677</v>
      </c>
      <c r="G1197" s="2">
        <v>45679</v>
      </c>
      <c r="H1197" t="s">
        <v>31</v>
      </c>
      <c r="I1197" t="s">
        <v>25</v>
      </c>
      <c r="J1197" s="2">
        <v>45683</v>
      </c>
      <c r="K1197" s="2">
        <v>45683</v>
      </c>
      <c r="L1197" t="s">
        <v>26</v>
      </c>
      <c r="M1197" t="s">
        <v>27</v>
      </c>
      <c r="O1197" t="s">
        <v>81</v>
      </c>
      <c r="Q1197">
        <f t="shared" si="72"/>
        <v>1</v>
      </c>
      <c r="R1197" s="3">
        <f t="shared" si="73"/>
        <v>6</v>
      </c>
      <c r="S1197">
        <f t="shared" si="74"/>
        <v>0</v>
      </c>
      <c r="T1197">
        <f t="shared" si="75"/>
        <v>0</v>
      </c>
    </row>
    <row r="1198" spans="1:20" x14ac:dyDescent="0.25">
      <c r="A1198" t="s">
        <v>1264</v>
      </c>
      <c r="B1198">
        <v>1197</v>
      </c>
      <c r="C1198" t="s">
        <v>59</v>
      </c>
      <c r="D1198" t="s">
        <v>39</v>
      </c>
      <c r="E1198" t="s">
        <v>60</v>
      </c>
      <c r="F1198" s="2">
        <v>45925</v>
      </c>
      <c r="G1198" s="2">
        <v>45926</v>
      </c>
      <c r="H1198" t="s">
        <v>61</v>
      </c>
      <c r="I1198" t="s">
        <v>62</v>
      </c>
      <c r="J1198" s="2">
        <v>45928</v>
      </c>
      <c r="K1198" s="2">
        <v>45928</v>
      </c>
      <c r="L1198" t="s">
        <v>26</v>
      </c>
      <c r="M1198" t="s">
        <v>27</v>
      </c>
      <c r="O1198" t="s">
        <v>37</v>
      </c>
      <c r="Q1198">
        <f t="shared" si="72"/>
        <v>1</v>
      </c>
      <c r="R1198" s="3">
        <f t="shared" si="73"/>
        <v>3</v>
      </c>
      <c r="S1198">
        <f t="shared" si="74"/>
        <v>0</v>
      </c>
      <c r="T1198">
        <f t="shared" si="75"/>
        <v>0</v>
      </c>
    </row>
    <row r="1199" spans="1:20" x14ac:dyDescent="0.25">
      <c r="A1199" t="s">
        <v>1265</v>
      </c>
      <c r="B1199">
        <v>1198</v>
      </c>
      <c r="C1199" t="s">
        <v>21</v>
      </c>
      <c r="D1199" t="s">
        <v>39</v>
      </c>
      <c r="E1199" t="s">
        <v>56</v>
      </c>
      <c r="F1199" s="2">
        <v>45949</v>
      </c>
      <c r="G1199" s="2">
        <v>45950</v>
      </c>
      <c r="H1199" t="s">
        <v>24</v>
      </c>
      <c r="I1199" t="s">
        <v>85</v>
      </c>
      <c r="J1199" s="2">
        <v>45954</v>
      </c>
      <c r="K1199" s="2">
        <v>45954</v>
      </c>
      <c r="L1199" t="s">
        <v>26</v>
      </c>
      <c r="M1199" t="s">
        <v>27</v>
      </c>
      <c r="O1199" t="s">
        <v>43</v>
      </c>
      <c r="Q1199">
        <f t="shared" si="72"/>
        <v>1</v>
      </c>
      <c r="R1199" s="3">
        <f t="shared" si="73"/>
        <v>5</v>
      </c>
      <c r="S1199">
        <f t="shared" si="74"/>
        <v>0</v>
      </c>
      <c r="T1199">
        <f t="shared" si="75"/>
        <v>0</v>
      </c>
    </row>
    <row r="1200" spans="1:20" x14ac:dyDescent="0.25">
      <c r="A1200" t="s">
        <v>1266</v>
      </c>
      <c r="B1200">
        <v>1199</v>
      </c>
      <c r="C1200" t="s">
        <v>21</v>
      </c>
      <c r="D1200" t="s">
        <v>22</v>
      </c>
      <c r="E1200" t="s">
        <v>40</v>
      </c>
      <c r="F1200" s="2">
        <v>45945</v>
      </c>
      <c r="G1200" s="2">
        <v>45945</v>
      </c>
      <c r="H1200" t="s">
        <v>61</v>
      </c>
      <c r="I1200" t="s">
        <v>54</v>
      </c>
      <c r="J1200" s="2">
        <v>45947</v>
      </c>
      <c r="K1200" s="2">
        <v>45950</v>
      </c>
      <c r="L1200" t="s">
        <v>26</v>
      </c>
      <c r="M1200" t="s">
        <v>32</v>
      </c>
      <c r="N1200" t="s">
        <v>47</v>
      </c>
      <c r="O1200" t="s">
        <v>69</v>
      </c>
      <c r="Q1200">
        <f t="shared" si="72"/>
        <v>0</v>
      </c>
      <c r="R1200" s="3">
        <f t="shared" si="73"/>
        <v>2</v>
      </c>
      <c r="S1200">
        <f t="shared" si="74"/>
        <v>1</v>
      </c>
      <c r="T1200">
        <f t="shared" si="75"/>
        <v>0</v>
      </c>
    </row>
    <row r="1201" spans="1:20" x14ac:dyDescent="0.25">
      <c r="A1201" t="s">
        <v>1267</v>
      </c>
      <c r="B1201">
        <v>1200</v>
      </c>
      <c r="C1201" t="s">
        <v>21</v>
      </c>
      <c r="D1201" t="s">
        <v>39</v>
      </c>
      <c r="E1201" t="s">
        <v>40</v>
      </c>
      <c r="F1201" s="2">
        <v>45944</v>
      </c>
      <c r="G1201" s="2">
        <v>45945</v>
      </c>
      <c r="H1201" t="s">
        <v>41</v>
      </c>
      <c r="I1201" t="s">
        <v>54</v>
      </c>
      <c r="J1201" s="2">
        <v>45948</v>
      </c>
      <c r="K1201" s="2">
        <v>45949</v>
      </c>
      <c r="L1201" t="s">
        <v>26</v>
      </c>
      <c r="M1201" t="s">
        <v>32</v>
      </c>
      <c r="N1201" t="s">
        <v>33</v>
      </c>
      <c r="O1201" t="s">
        <v>43</v>
      </c>
      <c r="Q1201">
        <f t="shared" si="72"/>
        <v>0</v>
      </c>
      <c r="R1201" s="3">
        <f t="shared" si="73"/>
        <v>4</v>
      </c>
      <c r="S1201">
        <f t="shared" si="74"/>
        <v>1</v>
      </c>
      <c r="T1201">
        <f t="shared" si="75"/>
        <v>0</v>
      </c>
    </row>
  </sheetData>
  <autoFilter ref="A1:R120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"/>
  <sheetViews>
    <sheetView workbookViewId="0">
      <pane ySplit="3" topLeftCell="A47" activePane="bottomLeft" state="frozen"/>
      <selection pane="bottomLeft" activeCell="D26" sqref="D26"/>
    </sheetView>
  </sheetViews>
  <sheetFormatPr defaultRowHeight="15" x14ac:dyDescent="0.25"/>
  <cols>
    <col min="1" max="1" width="30" customWidth="1"/>
    <col min="2" max="2" width="20" customWidth="1"/>
    <col min="4" max="4" width="10.42578125" bestFit="1" customWidth="1"/>
    <col min="6" max="7" width="13" hidden="1" customWidth="1"/>
  </cols>
  <sheetData>
    <row r="1" spans="1:4" ht="31.5" x14ac:dyDescent="0.5">
      <c r="A1" s="13" t="s">
        <v>1268</v>
      </c>
    </row>
    <row r="3" spans="1:4" x14ac:dyDescent="0.25">
      <c r="A3" s="4" t="s">
        <v>1269</v>
      </c>
      <c r="B3" s="4" t="s">
        <v>1270</v>
      </c>
    </row>
    <row r="4" spans="1:4" x14ac:dyDescent="0.25">
      <c r="A4" s="5" t="s">
        <v>1271</v>
      </c>
      <c r="B4" s="6">
        <f>AVERAGE(Data!Q2:Q1201)</f>
        <v>0.79083333333333339</v>
      </c>
    </row>
    <row r="5" spans="1:4" x14ac:dyDescent="0.25">
      <c r="A5" s="5" t="s">
        <v>1272</v>
      </c>
      <c r="B5" s="7">
        <f>AVERAGE(Data!R2:R1201)</f>
        <v>3.9858333333333333</v>
      </c>
    </row>
    <row r="6" spans="1:4" x14ac:dyDescent="0.25">
      <c r="A6" s="5" t="s">
        <v>1273</v>
      </c>
      <c r="B6" s="6">
        <f>AVERAGE(Data!S2:S1201)</f>
        <v>0.1525</v>
      </c>
    </row>
    <row r="7" spans="1:4" x14ac:dyDescent="0.25">
      <c r="A7" s="5" t="s">
        <v>1274</v>
      </c>
      <c r="B7" s="6">
        <f>AVERAGE(Data!T2:T1201)</f>
        <v>0.19916666666666666</v>
      </c>
    </row>
    <row r="8" spans="1:4" x14ac:dyDescent="0.25">
      <c r="A8" s="5" t="s">
        <v>1275</v>
      </c>
      <c r="B8" s="8">
        <f>COUNTA(Data!A2:A1201)</f>
        <v>1200</v>
      </c>
    </row>
    <row r="13" spans="1:4" ht="15.75" x14ac:dyDescent="0.25">
      <c r="A13" s="9" t="s">
        <v>1276</v>
      </c>
    </row>
    <row r="14" spans="1:4" x14ac:dyDescent="0.25">
      <c r="A14" s="4" t="s">
        <v>4</v>
      </c>
      <c r="B14" s="4" t="s">
        <v>32</v>
      </c>
      <c r="C14" s="4" t="s">
        <v>1277</v>
      </c>
      <c r="D14" s="4" t="s">
        <v>1278</v>
      </c>
    </row>
    <row r="15" spans="1:4" x14ac:dyDescent="0.25">
      <c r="A15" t="s">
        <v>23</v>
      </c>
      <c r="B15">
        <f>COUNTIFS(Data!E:E,A15,Data!S:S,1)</f>
        <v>36</v>
      </c>
      <c r="C15">
        <f>COUNTIF(Data!E:E,A15)</f>
        <v>230</v>
      </c>
      <c r="D15" s="10">
        <f>IF(C15=0,0,B15/C15)</f>
        <v>0.15652173913043479</v>
      </c>
    </row>
    <row r="16" spans="1:4" x14ac:dyDescent="0.25">
      <c r="A16" t="s">
        <v>60</v>
      </c>
      <c r="B16">
        <f>COUNTIFS(Data!E:E,A16,Data!S:S,1)</f>
        <v>35</v>
      </c>
      <c r="C16">
        <f>COUNTIF(Data!E:E,A16)</f>
        <v>261</v>
      </c>
      <c r="D16" s="10">
        <f>IF(C16=0,0,B16/C16)</f>
        <v>0.13409961685823754</v>
      </c>
    </row>
    <row r="17" spans="1:7" x14ac:dyDescent="0.25">
      <c r="A17" t="s">
        <v>53</v>
      </c>
      <c r="B17">
        <f>COUNTIFS(Data!E:E,A17,Data!S:S,1)</f>
        <v>36</v>
      </c>
      <c r="C17">
        <f>COUNTIF(Data!E:E,A17)</f>
        <v>234</v>
      </c>
      <c r="D17" s="10">
        <f>IF(C17=0,0,B17/C17)</f>
        <v>0.15384615384615385</v>
      </c>
    </row>
    <row r="18" spans="1:7" x14ac:dyDescent="0.25">
      <c r="A18" t="s">
        <v>56</v>
      </c>
      <c r="B18">
        <f>COUNTIFS(Data!E:E,A18,Data!S:S,1)</f>
        <v>38</v>
      </c>
      <c r="C18">
        <f>COUNTIF(Data!E:E,A18)</f>
        <v>242</v>
      </c>
      <c r="D18" s="10">
        <f>IF(C18=0,0,B18/C18)</f>
        <v>0.15702479338842976</v>
      </c>
    </row>
    <row r="19" spans="1:7" x14ac:dyDescent="0.25">
      <c r="A19" t="s">
        <v>40</v>
      </c>
      <c r="B19">
        <f>COUNTIFS(Data!E:E,A19,Data!S:S,1)</f>
        <v>38</v>
      </c>
      <c r="C19">
        <f>COUNTIF(Data!E:E,A19)</f>
        <v>233</v>
      </c>
      <c r="D19" s="10">
        <f>IF(C19=0,0,B19/C19)</f>
        <v>0.1630901287553648</v>
      </c>
    </row>
    <row r="20" spans="1:7" x14ac:dyDescent="0.25">
      <c r="D20" s="10"/>
    </row>
    <row r="21" spans="1:7" x14ac:dyDescent="0.25">
      <c r="D21" s="10"/>
    </row>
    <row r="22" spans="1:7" x14ac:dyDescent="0.25">
      <c r="D22" s="10"/>
    </row>
    <row r="27" spans="1:7" ht="15.75" x14ac:dyDescent="0.25">
      <c r="A27" s="9" t="s">
        <v>1279</v>
      </c>
    </row>
    <row r="28" spans="1:7" x14ac:dyDescent="0.25">
      <c r="A28" s="4" t="s">
        <v>1280</v>
      </c>
      <c r="B28" s="4" t="s">
        <v>1281</v>
      </c>
      <c r="F28" s="11">
        <v>45658</v>
      </c>
      <c r="G28" s="11">
        <v>45689</v>
      </c>
    </row>
    <row r="29" spans="1:7" x14ac:dyDescent="0.25">
      <c r="A29" t="s">
        <v>1282</v>
      </c>
      <c r="B29" s="10">
        <f>AVERAGEIFS(Data!Q:Q,Data!G:G,"&gt;="&amp;F28,Data!G:G,"&lt;"&amp;G28)</f>
        <v>0.7857142857142857</v>
      </c>
      <c r="F29" s="11">
        <v>45689</v>
      </c>
      <c r="G29" s="11">
        <v>45717</v>
      </c>
    </row>
    <row r="30" spans="1:7" x14ac:dyDescent="0.25">
      <c r="A30" t="s">
        <v>1283</v>
      </c>
      <c r="B30" s="10">
        <f>AVERAGEIFS(Data!Q:Q,Data!G:G,"&gt;="&amp;F29,Data!G:G,"&lt;"&amp;G29)</f>
        <v>0.77586206896551724</v>
      </c>
      <c r="F30" s="11">
        <v>45717</v>
      </c>
      <c r="G30" s="11">
        <v>45748</v>
      </c>
    </row>
    <row r="31" spans="1:7" x14ac:dyDescent="0.25">
      <c r="A31" t="s">
        <v>1284</v>
      </c>
      <c r="B31" s="10">
        <f>AVERAGEIFS(Data!Q:Q,Data!G:G,"&gt;="&amp;F30,Data!G:G,"&lt;"&amp;G30)</f>
        <v>0.75</v>
      </c>
      <c r="F31" s="11">
        <v>45748</v>
      </c>
      <c r="G31" s="11">
        <v>45778</v>
      </c>
    </row>
    <row r="32" spans="1:7" x14ac:dyDescent="0.25">
      <c r="A32" t="s">
        <v>1285</v>
      </c>
      <c r="B32" s="10">
        <f>AVERAGEIFS(Data!Q:Q,Data!G:G,"&gt;="&amp;F31,Data!G:G,"&lt;"&amp;G31)</f>
        <v>0.875</v>
      </c>
      <c r="F32" s="11">
        <v>45778</v>
      </c>
      <c r="G32" s="11">
        <v>45809</v>
      </c>
    </row>
    <row r="33" spans="1:7" x14ac:dyDescent="0.25">
      <c r="A33" t="s">
        <v>1286</v>
      </c>
      <c r="B33" s="10">
        <f>AVERAGEIFS(Data!Q:Q,Data!G:G,"&gt;="&amp;F32,Data!G:G,"&lt;"&amp;G32)</f>
        <v>0.86021505376344087</v>
      </c>
      <c r="F33" s="11">
        <v>45809</v>
      </c>
      <c r="G33" s="11">
        <v>45839</v>
      </c>
    </row>
    <row r="34" spans="1:7" x14ac:dyDescent="0.25">
      <c r="A34" t="s">
        <v>1287</v>
      </c>
      <c r="B34" s="10">
        <f>AVERAGEIFS(Data!Q:Q,Data!G:G,"&gt;="&amp;F33,Data!G:G,"&lt;"&amp;G33)</f>
        <v>0.79411764705882348</v>
      </c>
      <c r="F34" s="11">
        <v>45839</v>
      </c>
      <c r="G34" s="11">
        <v>45870</v>
      </c>
    </row>
    <row r="35" spans="1:7" x14ac:dyDescent="0.25">
      <c r="A35" t="s">
        <v>1288</v>
      </c>
      <c r="B35" s="10">
        <f>AVERAGEIFS(Data!Q:Q,Data!G:G,"&gt;="&amp;F34,Data!G:G,"&lt;"&amp;G34)</f>
        <v>0.76767676767676762</v>
      </c>
      <c r="F35" s="11">
        <v>45870</v>
      </c>
      <c r="G35" s="11">
        <v>45901</v>
      </c>
    </row>
    <row r="36" spans="1:7" x14ac:dyDescent="0.25">
      <c r="A36" t="s">
        <v>1289</v>
      </c>
      <c r="B36" s="10">
        <f>AVERAGEIFS(Data!Q:Q,Data!G:G,"&gt;="&amp;F35,Data!G:G,"&lt;"&amp;G35)</f>
        <v>0.80198019801980203</v>
      </c>
      <c r="F36" s="11">
        <v>45901</v>
      </c>
      <c r="G36" s="11">
        <v>45931</v>
      </c>
    </row>
    <row r="37" spans="1:7" x14ac:dyDescent="0.25">
      <c r="A37" t="s">
        <v>1290</v>
      </c>
      <c r="B37" s="10">
        <f>AVERAGEIFS(Data!Q:Q,Data!G:G,"&gt;="&amp;F36,Data!G:G,"&lt;"&amp;G36)</f>
        <v>0.82978723404255317</v>
      </c>
      <c r="F37" s="11">
        <v>45931</v>
      </c>
      <c r="G37" s="11">
        <v>45962</v>
      </c>
    </row>
    <row r="38" spans="1:7" x14ac:dyDescent="0.25">
      <c r="A38" t="s">
        <v>1291</v>
      </c>
      <c r="B38" s="10">
        <f>AVERAGEIFS(Data!Q:Q,Data!G:G,"&gt;="&amp;F37,Data!G:G,"&lt;"&amp;G37)</f>
        <v>0.83505154639175261</v>
      </c>
      <c r="F38" s="11">
        <v>45962</v>
      </c>
      <c r="G38" s="11">
        <v>45992</v>
      </c>
    </row>
    <row r="39" spans="1:7" x14ac:dyDescent="0.25">
      <c r="A39" t="s">
        <v>1292</v>
      </c>
      <c r="B39" s="10">
        <f>AVERAGEIFS(Data!Q:Q,Data!G:G,"&gt;="&amp;F38,Data!G:G,"&lt;"&amp;G38)</f>
        <v>0.78321678321678323</v>
      </c>
      <c r="F39" s="11">
        <v>45992</v>
      </c>
      <c r="G39" s="11">
        <v>46023</v>
      </c>
    </row>
    <row r="40" spans="1:7" x14ac:dyDescent="0.25">
      <c r="A40" t="s">
        <v>1293</v>
      </c>
      <c r="B40" s="10">
        <f>AVERAGEIFS(Data!Q:Q,Data!G:G,"&gt;="&amp;F39,Data!G:G,"&lt;"&amp;G39)</f>
        <v>0.68531468531468531</v>
      </c>
    </row>
    <row r="46" spans="1:7" ht="15.75" x14ac:dyDescent="0.25">
      <c r="A46" s="9" t="s">
        <v>1294</v>
      </c>
    </row>
    <row r="47" spans="1:7" x14ac:dyDescent="0.25">
      <c r="A47" s="4" t="s">
        <v>2</v>
      </c>
      <c r="B47" s="4" t="s">
        <v>1295</v>
      </c>
    </row>
    <row r="48" spans="1:7" x14ac:dyDescent="0.25">
      <c r="A48" t="s">
        <v>78</v>
      </c>
      <c r="B48" s="10">
        <f>AVERAGEIFS(Data!S:S, Data!C:C, A48)</f>
        <v>0.14746543778801843</v>
      </c>
    </row>
    <row r="49" spans="1:2" x14ac:dyDescent="0.25">
      <c r="A49" t="s">
        <v>59</v>
      </c>
      <c r="B49" s="10">
        <f>AVERAGEIFS(Data!S:S, Data!C:C, A49)</f>
        <v>0.15447154471544716</v>
      </c>
    </row>
    <row r="50" spans="1:2" x14ac:dyDescent="0.25">
      <c r="A50" t="s">
        <v>36</v>
      </c>
      <c r="B50" s="10">
        <f>AVERAGEIFS(Data!S:S, Data!C:C, A50)</f>
        <v>0.14227642276422764</v>
      </c>
    </row>
    <row r="51" spans="1:2" x14ac:dyDescent="0.25">
      <c r="A51" t="s">
        <v>21</v>
      </c>
      <c r="B51" s="10">
        <f>AVERAGEIFS(Data!S:S, Data!C:C, A51)</f>
        <v>0.15139442231075698</v>
      </c>
    </row>
    <row r="52" spans="1:2" x14ac:dyDescent="0.25">
      <c r="A52" t="s">
        <v>51</v>
      </c>
      <c r="B52" s="10">
        <f>AVERAGEIFS(Data!S:S, Data!C:C, A52)</f>
        <v>0.16666666666666666</v>
      </c>
    </row>
    <row r="58" spans="1:2" x14ac:dyDescent="0.25">
      <c r="A58" s="4" t="s">
        <v>1296</v>
      </c>
      <c r="B58" s="4"/>
    </row>
    <row r="59" spans="1:2" x14ac:dyDescent="0.25">
      <c r="A59" s="12" t="s">
        <v>1280</v>
      </c>
      <c r="B59" s="12" t="s">
        <v>1297</v>
      </c>
    </row>
    <row r="60" spans="1:2" x14ac:dyDescent="0.25">
      <c r="A60" t="s">
        <v>1298</v>
      </c>
      <c r="B60" s="10">
        <f>AVERAGEIFS(Data!T:T,Data!F:F,"&gt;="&amp;DATE(2025,1,1),Data!F:F,"&lt;"&amp;EDATE(DATE(2025,1,1),1))</f>
        <v>0.11224489795918367</v>
      </c>
    </row>
    <row r="61" spans="1:2" x14ac:dyDescent="0.25">
      <c r="A61" t="s">
        <v>1299</v>
      </c>
      <c r="B61" s="10">
        <f>AVERAGEIFS(Data!T:T,Data!F:F,"&gt;="&amp;DATE(2025,2,1),Data!F:F,"&lt;"&amp;EDATE(DATE(2025,2,1),1))</f>
        <v>0.17241379310344829</v>
      </c>
    </row>
    <row r="62" spans="1:2" x14ac:dyDescent="0.25">
      <c r="A62" t="s">
        <v>1300</v>
      </c>
      <c r="B62" s="10">
        <f>AVERAGEIFS(Data!T:T,Data!F:F,"&gt;="&amp;DATE(2025,3,1),Data!F:F,"&lt;"&amp;EDATE(DATE(2025,3,1),1))</f>
        <v>0.27380952380952384</v>
      </c>
    </row>
    <row r="63" spans="1:2" x14ac:dyDescent="0.25">
      <c r="A63" t="s">
        <v>1301</v>
      </c>
      <c r="B63" s="10">
        <f>AVERAGEIFS(Data!T:T,Data!F:F,"&gt;="&amp;DATE(2025,4,1),Data!F:F,"&lt;"&amp;EDATE(DATE(2025,4,1),1))</f>
        <v>0.18181818181818182</v>
      </c>
    </row>
    <row r="64" spans="1:2" x14ac:dyDescent="0.25">
      <c r="A64" t="s">
        <v>1302</v>
      </c>
      <c r="B64" s="10">
        <f>AVERAGEIFS(Data!T:T,Data!F:F,"&gt;="&amp;DATE(2025,5,1),Data!F:F,"&lt;"&amp;EDATE(DATE(2025,5,1),1))</f>
        <v>0.17204301075268819</v>
      </c>
    </row>
    <row r="65" spans="1:2" x14ac:dyDescent="0.25">
      <c r="A65" t="s">
        <v>1303</v>
      </c>
      <c r="B65" s="10">
        <f>AVERAGEIFS(Data!T:T,Data!F:F,"&gt;="&amp;DATE(2025,6,1),Data!F:F,"&lt;"&amp;EDATE(DATE(2025,6,1),1))</f>
        <v>0.15686274509803921</v>
      </c>
    </row>
    <row r="66" spans="1:2" x14ac:dyDescent="0.25">
      <c r="A66" t="s">
        <v>1304</v>
      </c>
      <c r="B66" s="10">
        <f>AVERAGEIFS(Data!T:T,Data!F:F,"&gt;="&amp;DATE(2025,7,1),Data!F:F,"&lt;"&amp;EDATE(DATE(2025,7,1),1))</f>
        <v>0.19191919191919191</v>
      </c>
    </row>
    <row r="67" spans="1:2" x14ac:dyDescent="0.25">
      <c r="A67" t="s">
        <v>1305</v>
      </c>
      <c r="B67" s="10">
        <f>AVERAGEIFS(Data!T:T,Data!F:F,"&gt;="&amp;DATE(2025,8,1),Data!F:F,"&lt;"&amp;EDATE(DATE(2025,8,1),1))</f>
        <v>0.21782178217821782</v>
      </c>
    </row>
    <row r="68" spans="1:2" x14ac:dyDescent="0.25">
      <c r="A68" t="s">
        <v>1306</v>
      </c>
      <c r="B68" s="10">
        <f>AVERAGEIFS(Data!T:T,Data!F:F,"&gt;="&amp;DATE(2025,9,1),Data!F:F,"&lt;"&amp;EDATE(DATE(2025,9,1),1))</f>
        <v>0.18085106382978725</v>
      </c>
    </row>
    <row r="69" spans="1:2" x14ac:dyDescent="0.25">
      <c r="A69" t="s">
        <v>1307</v>
      </c>
      <c r="B69" s="10">
        <f>AVERAGEIFS(Data!T:T,Data!F:F,"&gt;="&amp;DATE(2025,10,1),Data!F:F,"&lt;"&amp;EDATE(DATE(2025,10,1),1))</f>
        <v>0.18556701030927836</v>
      </c>
    </row>
    <row r="70" spans="1:2" x14ac:dyDescent="0.25">
      <c r="A70" t="s">
        <v>1308</v>
      </c>
      <c r="B70" s="10">
        <f>AVERAGEIFS(Data!T:T,Data!F:F,"&gt;="&amp;DATE(2025,11,1),Data!F:F,"&lt;"&amp;EDATE(DATE(2025,11,1),1))</f>
        <v>0.23776223776223776</v>
      </c>
    </row>
    <row r="71" spans="1:2" x14ac:dyDescent="0.25">
      <c r="A71" t="s">
        <v>1309</v>
      </c>
      <c r="B71" s="10">
        <f>AVERAGEIFS(Data!T:T,Data!F:F,"&gt;="&amp;DATE(2025,12,1),Data!F:F,"&lt;"&amp;EDATE(DATE(2025,12,1),1))</f>
        <v>0.25874125874125875</v>
      </c>
    </row>
  </sheetData>
  <conditionalFormatting sqref="B4:B7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4803149606299213" right="0.74803149606299213" top="0.98425196850393704" bottom="0.98425196850393704" header="0.51181102362204722" footer="0.51181102362204722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KYOU PARK</cp:lastModifiedBy>
  <cp:lastPrinted>2025-12-14T02:34:18Z</cp:lastPrinted>
  <dcterms:created xsi:type="dcterms:W3CDTF">2025-12-13T15:18:51Z</dcterms:created>
  <dcterms:modified xsi:type="dcterms:W3CDTF">2025-12-14T02:39:33Z</dcterms:modified>
</cp:coreProperties>
</file>